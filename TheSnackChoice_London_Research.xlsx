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duct Catalog" sheetId="2" state="visible" r:id="rId2"/>
    <sheet name="Machine Specs" sheetId="3" state="visible" r:id="rId3"/>
    <sheet name="Supplier Directory" sheetId="4" state="visible" r:id="rId4"/>
    <sheet name="Competitor Analysis" sheetId="5" state="visible" r:id="rId5"/>
    <sheet name="Startup Costs" sheetId="6" state="visible" r:id="rId6"/>
    <sheet name="Micro-Market Costs" sheetId="7" state="visible" r:id="rId7"/>
    <sheet name="Location Tracker" sheetId="8" state="visible" r:id="rId8"/>
    <sheet name="Weekly P&amp;L" sheetId="9" state="visible" r:id="rId9"/>
    <sheet name="Operations Log" sheetId="10" state="visible" r:id="rId10"/>
    <sheet name="Performance Review" sheetId="11" state="visible" r:id="rId11"/>
  </sheets>
  <definedNames>
    <definedName name="_xlnm._FilterDatabase" localSheetId="1" hidden="1">'Product Catalog'!$A$1:$N$60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£#,##0"/>
    <numFmt numFmtId="165" formatCode="0.0"/>
    <numFmt numFmtId="166" formatCode="0.0%"/>
    <numFmt numFmtId="167" formatCode="£#,##0.00"/>
    <numFmt numFmtId="168" formatCode="DD/MM/YYYY"/>
  </numFmts>
  <fonts count="12">
    <font>
      <name val="Calibri"/>
      <family val="2"/>
      <color theme="1"/>
      <sz val="11"/>
      <scheme val="minor"/>
    </font>
    <font>
      <b val="1"/>
      <sz val="16"/>
    </font>
    <font>
      <i val="1"/>
      <color rgb="00808080"/>
      <sz val="12"/>
    </font>
    <font>
      <b val="1"/>
      <sz val="12"/>
    </font>
    <font>
      <b val="1"/>
      <sz val="11"/>
    </font>
    <font>
      <b val="1"/>
      <color rgb="00FFFFFF"/>
      <sz val="11"/>
    </font>
    <font>
      <color rgb="00000000"/>
      <sz val="11"/>
    </font>
    <font>
      <color rgb="000000FF"/>
      <sz val="11"/>
    </font>
    <font>
      <b val="1"/>
      <sz val="14"/>
    </font>
    <font>
      <i val="1"/>
      <color rgb="00808080"/>
      <sz val="10"/>
    </font>
    <font>
      <i val="1"/>
      <color rgb="00808080"/>
      <sz val="11"/>
    </font>
    <font>
      <b val="1"/>
      <color rgb="00CC0000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0" pivotButton="0" quotePrefix="0" xfId="0"/>
    <xf numFmtId="164" fontId="0" fillId="0" borderId="0" pivotButton="0" quotePrefix="0" xfId="0"/>
    <xf numFmtId="0" fontId="5" fillId="3" borderId="1" applyAlignment="1" pivotButton="0" quotePrefix="0" xfId="0">
      <alignment horizontal="center" wrapText="1"/>
    </xf>
    <xf numFmtId="0" fontId="6" fillId="0" borderId="0" pivotButton="0" quotePrefix="0" xfId="0"/>
    <xf numFmtId="167" fontId="7" fillId="0" borderId="0" pivotButton="0" quotePrefix="0" xfId="0"/>
    <xf numFmtId="167" fontId="0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7" fillId="4" borderId="0" pivotButton="0" quotePrefix="0" xfId="0"/>
    <xf numFmtId="0" fontId="4" fillId="2" borderId="0" pivotButton="0" quotePrefix="0" xfId="0"/>
    <xf numFmtId="0" fontId="0" fillId="0" borderId="1" pivotButton="0" quotePrefix="0" xfId="0"/>
    <xf numFmtId="164" fontId="7" fillId="4" borderId="1" pivotButton="0" quotePrefix="0" xfId="0"/>
    <xf numFmtId="164" fontId="4" fillId="0" borderId="1" pivotButton="0" quotePrefix="0" xfId="0"/>
    <xf numFmtId="0" fontId="9" fillId="0" borderId="0" pivotButton="0" quotePrefix="0" xfId="0"/>
    <xf numFmtId="165" fontId="4" fillId="0" borderId="1" pivotButton="0" quotePrefix="0" xfId="0"/>
    <xf numFmtId="0" fontId="3" fillId="5" borderId="0" pivotButton="0" quotePrefix="0" xfId="0"/>
    <xf numFmtId="0" fontId="0" fillId="5" borderId="0" pivotButton="0" quotePrefix="0" xfId="0"/>
    <xf numFmtId="164" fontId="4" fillId="0" borderId="0" pivotButton="0" quotePrefix="0" xfId="0"/>
    <xf numFmtId="168" fontId="7" fillId="4" borderId="0" pivotButton="0" quotePrefix="0" xfId="0"/>
    <xf numFmtId="167" fontId="7" fillId="4" borderId="0" pivotButton="0" quotePrefix="0" xfId="0"/>
    <xf numFmtId="167" fontId="4" fillId="0" borderId="0" pivotButton="0" quotePrefix="0" xfId="0"/>
    <xf numFmtId="167" fontId="7" fillId="4" borderId="1" pivotButton="0" quotePrefix="0" xfId="0"/>
    <xf numFmtId="167" fontId="0" fillId="0" borderId="1" pivotButton="0" quotePrefix="0" xfId="0"/>
    <xf numFmtId="167" fontId="4" fillId="0" borderId="1" pivotButton="0" quotePrefix="0" xfId="0"/>
    <xf numFmtId="166" fontId="4" fillId="0" borderId="0" pivotButton="0" quotePrefix="0" xfId="0"/>
    <xf numFmtId="168" fontId="7" fillId="0" borderId="0" pivotButton="0" quotePrefix="0" xfId="0"/>
    <xf numFmtId="1" fontId="7" fillId="0" borderId="0" pivotButton="0" quotePrefix="0" xfId="0"/>
    <xf numFmtId="165" fontId="7" fillId="0" borderId="0" pivotButton="0" quotePrefix="0" xfId="0"/>
    <xf numFmtId="168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BDD7EE"/>
          <b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THE SNACK CHOICE — LONDON EXPANSION</t>
        </is>
      </c>
    </row>
    <row r="2">
      <c r="A2" s="2" t="inlineStr">
        <is>
          <t>Business Intelligence Dashboard</t>
        </is>
      </c>
    </row>
    <row r="4">
      <c r="A4" s="3" t="inlineStr">
        <is>
          <t>KEY METRICS</t>
        </is>
      </c>
      <c r="B4" s="4" t="n"/>
      <c r="C4" s="4" t="n"/>
    </row>
    <row r="5">
      <c r="A5" s="5" t="inlineStr">
        <is>
          <t>Number of Machines</t>
        </is>
      </c>
      <c r="B5" s="6">
        <f>'Startup Costs'!B2</f>
        <v/>
      </c>
    </row>
    <row r="6">
      <c r="A6" s="5" t="inlineStr">
        <is>
          <t>Total Upfront Investment</t>
        </is>
      </c>
      <c r="B6" s="7">
        <f>'Startup Costs'!D39</f>
        <v/>
      </c>
    </row>
    <row r="7">
      <c r="A7" s="5" t="inlineStr">
        <is>
          <t>Monthly Operating Cost</t>
        </is>
      </c>
      <c r="B7" s="7">
        <f>'Startup Costs'!D36</f>
        <v/>
      </c>
    </row>
    <row r="8">
      <c r="A8" s="5" t="inlineStr">
        <is>
          <t>Est. Monthly Revenue</t>
        </is>
      </c>
      <c r="B8" s="7">
        <f>'Startup Costs'!D42</f>
        <v/>
      </c>
    </row>
    <row r="9">
      <c r="A9" s="5" t="inlineStr">
        <is>
          <t>Est. Monthly Profit</t>
        </is>
      </c>
      <c r="B9" s="7">
        <f>'Startup Costs'!D43</f>
        <v/>
      </c>
    </row>
    <row r="10">
      <c r="A10" s="5" t="inlineStr">
        <is>
          <t>Months to Breakeven</t>
        </is>
      </c>
      <c r="B10" s="8">
        <f>'Startup Costs'!D44</f>
        <v/>
      </c>
    </row>
    <row r="12">
      <c r="A12" s="3" t="inlineStr">
        <is>
          <t>PRODUCT CATALOG SUMMARY</t>
        </is>
      </c>
      <c r="B12" s="4" t="n"/>
      <c r="C12" s="4" t="n"/>
    </row>
    <row r="13">
      <c r="A13" t="inlineStr">
        <is>
          <t>Total Products Listed</t>
        </is>
      </c>
      <c r="B13">
        <f>COUNTA('Product Catalog'!B2:B200)</f>
        <v/>
      </c>
    </row>
    <row r="14">
      <c r="A14" t="inlineStr">
        <is>
          <t>Avg Gross Margin %</t>
        </is>
      </c>
      <c r="B14" s="9">
        <f>AVERAGE('Product Catalog'!I2:I200)</f>
        <v/>
      </c>
    </row>
    <row r="15">
      <c r="A15" t="inlineStr">
        <is>
          <t>Avg Net Margin %</t>
        </is>
      </c>
      <c r="B15" s="9">
        <f>AVERAGE('Product Catalog'!L2:L200)</f>
        <v/>
      </c>
    </row>
    <row r="16">
      <c r="A16" t="inlineStr">
        <is>
          <t>Min Net Margin %</t>
        </is>
      </c>
      <c r="B16" s="9">
        <f>MIN('Product Catalog'!L2:L200)</f>
        <v/>
      </c>
    </row>
    <row r="17">
      <c r="A17" t="inlineStr">
        <is>
          <t>Max Net Margin %</t>
        </is>
      </c>
      <c r="B17" s="9">
        <f>MAX('Product Catalog'!L2:L200)</f>
        <v/>
      </c>
    </row>
    <row r="19">
      <c r="A19" s="3" t="inlineStr">
        <is>
          <t>LOCATION PIPELINE</t>
        </is>
      </c>
      <c r="B19" s="4" t="n"/>
      <c r="C19" s="4" t="n"/>
    </row>
    <row r="20">
      <c r="A20" t="inlineStr">
        <is>
          <t>Lead</t>
        </is>
      </c>
      <c r="B20">
        <f>COUNTIF('Location Tracker'!J2:J200,"Lead")</f>
        <v/>
      </c>
    </row>
    <row r="21">
      <c r="A21" t="inlineStr">
        <is>
          <t>Contacted</t>
        </is>
      </c>
      <c r="B21">
        <f>COUNTIF('Location Tracker'!J2:J200,"Contacted")</f>
        <v/>
      </c>
    </row>
    <row r="22">
      <c r="A22" t="inlineStr">
        <is>
          <t>Meeting Booked</t>
        </is>
      </c>
      <c r="B22">
        <f>COUNTIF('Location Tracker'!J2:J200,"Meeting Booked")</f>
        <v/>
      </c>
    </row>
    <row r="23">
      <c r="A23" t="inlineStr">
        <is>
          <t>Negotiating</t>
        </is>
      </c>
      <c r="B23">
        <f>COUNTIF('Location Tracker'!J2:J200,"Negotiating")</f>
        <v/>
      </c>
    </row>
    <row r="24">
      <c r="A24" t="inlineStr">
        <is>
          <t>Agreed</t>
        </is>
      </c>
      <c r="B24">
        <f>COUNTIF('Location Tracker'!J2:J200,"Agreed")</f>
        <v/>
      </c>
    </row>
    <row r="25">
      <c r="A25" t="inlineStr">
        <is>
          <t>Rejected</t>
        </is>
      </c>
      <c r="B25">
        <f>COUNTIF('Location Tracker'!J2:J200,"Rejected")</f>
        <v/>
      </c>
    </row>
    <row r="27">
      <c r="A27" s="3" t="inlineStr">
        <is>
          <t>MACHINES RESEARCHED</t>
        </is>
      </c>
      <c r="B27" s="4" t="n"/>
      <c r="C27" s="4" t="n"/>
    </row>
    <row r="28">
      <c r="A28" t="inlineStr">
        <is>
          <t>Total Machines Listed</t>
        </is>
      </c>
      <c r="B28">
        <f>COUNTA('Machine Specs'!A2:A50)</f>
        <v/>
      </c>
    </row>
    <row r="29">
      <c r="A29" t="inlineStr">
        <is>
          <t>Avg Purchase Price (ex VAT)</t>
        </is>
      </c>
      <c r="B29" s="10">
        <f>AVERAGE('Machine Specs'!E2:E50)</f>
        <v/>
      </c>
    </row>
    <row r="30">
      <c r="A30" t="inlineStr">
        <is>
          <t>Min Purchase Price (ex VAT)</t>
        </is>
      </c>
      <c r="B30" s="10">
        <f>MIN('Machine Specs'!E2:E50)</f>
        <v/>
      </c>
    </row>
    <row r="31">
      <c r="A31" t="inlineStr">
        <is>
          <t>Max Purchase Price (ex VAT)</t>
        </is>
      </c>
      <c r="B31" s="10">
        <f>MAX('Machine Specs'!E2:E50)</f>
        <v/>
      </c>
    </row>
    <row r="33">
      <c r="A33" s="3" t="inlineStr">
        <is>
          <t>COMPETITORS</t>
        </is>
      </c>
      <c r="B33" s="4" t="n"/>
      <c r="C33" s="4" t="n"/>
    </row>
    <row r="34">
      <c r="A34" t="inlineStr">
        <is>
          <t>Total Competitors Tracked</t>
        </is>
      </c>
      <c r="B34">
        <f>COUNTA('Competitor Analysis'!A2:A50)</f>
        <v/>
      </c>
    </row>
    <row r="35">
      <c r="A35" t="inlineStr">
        <is>
          <t>High Threat</t>
        </is>
      </c>
      <c r="B35">
        <f>COUNTIF('Competitor Analysis'!L2:L50,"High")</f>
        <v/>
      </c>
    </row>
    <row r="36">
      <c r="A36" t="inlineStr">
        <is>
          <t>Medium Threat</t>
        </is>
      </c>
      <c r="B36">
        <f>COUNTIF('Competitor Analysis'!L2:L50,"Medium")</f>
        <v/>
      </c>
    </row>
    <row r="37">
      <c r="A37" t="inlineStr">
        <is>
          <t>Low Threat</t>
        </is>
      </c>
      <c r="B37">
        <f>COUNTIF('Competitor Analysis'!L2:L50,"Low")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0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>
      <c r="A1" s="11" t="inlineStr">
        <is>
          <t>Category</t>
        </is>
      </c>
      <c r="B1" s="11" t="inlineStr">
        <is>
          <t>Product Name</t>
        </is>
      </c>
      <c r="C1" s="11" t="inlineStr">
        <is>
          <t>Brand</t>
        </is>
      </c>
      <c r="D1" s="11" t="inlineStr">
        <is>
          <t>Pack Size</t>
        </is>
      </c>
      <c r="E1" s="11" t="inlineStr">
        <is>
          <t>Wholesale Unit Cost (£)</t>
        </is>
      </c>
      <c r="F1" s="11" t="inlineStr">
        <is>
          <t>Wholesale Source</t>
        </is>
      </c>
      <c r="G1" s="11" t="inlineStr">
        <is>
          <t>Vend Price (£)</t>
        </is>
      </c>
      <c r="H1" s="11" t="inlineStr">
        <is>
          <t>Gross Margin (£)</t>
        </is>
      </c>
      <c r="I1" s="11" t="inlineStr">
        <is>
          <t>Gross Margin (%)</t>
        </is>
      </c>
      <c r="J1" s="11" t="inlineStr">
        <is>
          <t>Card Fee (£)</t>
        </is>
      </c>
      <c r="K1" s="11" t="inlineStr">
        <is>
          <t>Net Margin (£)</t>
        </is>
      </c>
      <c r="L1" s="11" t="inlineStr">
        <is>
          <t>Net Margin (%)</t>
        </is>
      </c>
      <c r="M1" s="11" t="inlineStr">
        <is>
          <t>Location Fit</t>
        </is>
      </c>
      <c r="N1" s="11" t="inlineStr">
        <is>
          <t>Notes</t>
        </is>
      </c>
    </row>
    <row r="2">
      <c r="A2" s="12" t="inlineStr">
        <is>
          <t>Confectionery</t>
        </is>
      </c>
      <c r="B2" s="12" t="inlineStr">
        <is>
          <t>Mars Bar 51g</t>
        </is>
      </c>
      <c r="C2" s="12" t="inlineStr">
        <is>
          <t>Mars</t>
        </is>
      </c>
      <c r="D2" s="12" t="inlineStr">
        <is>
          <t>48</t>
        </is>
      </c>
      <c r="E2" s="13" t="n">
        <v>0.55</v>
      </c>
      <c r="F2" s="12" t="inlineStr">
        <is>
          <t>benchmark</t>
        </is>
      </c>
      <c r="G2" s="13" t="n">
        <v>1.4</v>
      </c>
      <c r="H2" s="14">
        <f>G2-E2</f>
        <v/>
      </c>
      <c r="I2" s="9">
        <f>(G2-E2)/G2</f>
        <v/>
      </c>
      <c r="J2" s="14">
        <f>G2*0.029</f>
        <v/>
      </c>
      <c r="K2" s="14">
        <f>H2-J2</f>
        <v/>
      </c>
      <c r="L2" s="9">
        <f>K2/G2</f>
        <v/>
      </c>
      <c r="M2" s="12" t="inlineStr">
        <is>
          <t>Universal</t>
        </is>
      </c>
      <c r="N2" s="12" t="inlineStr">
        <is>
          <t>Est. — benchmark range £0.45-0.65. Standard countline, top seller in UK vending.</t>
        </is>
      </c>
    </row>
    <row r="3">
      <c r="A3" s="12" t="inlineStr">
        <is>
          <t>Confectionery</t>
        </is>
      </c>
      <c r="B3" s="12" t="inlineStr">
        <is>
          <t>Snickers 48g</t>
        </is>
      </c>
      <c r="C3" s="12" t="inlineStr">
        <is>
          <t>Mars</t>
        </is>
      </c>
      <c r="D3" s="12" t="inlineStr">
        <is>
          <t>48</t>
        </is>
      </c>
      <c r="E3" s="13" t="n">
        <v>0.55</v>
      </c>
      <c r="F3" s="12" t="inlineStr">
        <is>
          <t>benchmark</t>
        </is>
      </c>
      <c r="G3" s="13" t="n">
        <v>1.4</v>
      </c>
      <c r="H3" s="14">
        <f>G3-E3</f>
        <v/>
      </c>
      <c r="I3" s="9">
        <f>(G3-E3)/G3</f>
        <v/>
      </c>
      <c r="J3" s="14">
        <f>G3*0.029</f>
        <v/>
      </c>
      <c r="K3" s="14">
        <f>H3-J3</f>
        <v/>
      </c>
      <c r="L3" s="9">
        <f>K3/G3</f>
        <v/>
      </c>
      <c r="M3" s="12" t="inlineStr">
        <is>
          <t>Universal</t>
        </is>
      </c>
      <c r="N3" s="12" t="inlineStr">
        <is>
          <t>Est. — benchmark range £0.45-0.65. Strong seller, comparable to Mars.</t>
        </is>
      </c>
    </row>
    <row r="4">
      <c r="A4" s="12" t="inlineStr">
        <is>
          <t>Confectionery</t>
        </is>
      </c>
      <c r="B4" s="12" t="inlineStr">
        <is>
          <t>KitKat 4 Finger 41.5g</t>
        </is>
      </c>
      <c r="C4" s="12" t="inlineStr">
        <is>
          <t>Nestle</t>
        </is>
      </c>
      <c r="D4" s="12" t="inlineStr">
        <is>
          <t>24</t>
        </is>
      </c>
      <c r="E4" s="13" t="n">
        <v>0.5</v>
      </c>
      <c r="F4" s="12" t="inlineStr">
        <is>
          <t>benchmark</t>
        </is>
      </c>
      <c r="G4" s="13" t="n">
        <v>1.3</v>
      </c>
      <c r="H4" s="14">
        <f>G4-E4</f>
        <v/>
      </c>
      <c r="I4" s="9">
        <f>(G4-E4)/G4</f>
        <v/>
      </c>
      <c r="J4" s="14">
        <f>G4*0.029</f>
        <v/>
      </c>
      <c r="K4" s="14">
        <f>H4-J4</f>
        <v/>
      </c>
      <c r="L4" s="9">
        <f>K4/G4</f>
        <v/>
      </c>
      <c r="M4" s="12" t="inlineStr">
        <is>
          <t>Universal</t>
        </is>
      </c>
      <c r="N4" s="12" t="inlineStr">
        <is>
          <t>Est. — benchmark range £0.45-0.60. Slightly lighter bar, lower wholesale than Mars/Snickers.</t>
        </is>
      </c>
    </row>
    <row r="5">
      <c r="A5" s="12" t="inlineStr">
        <is>
          <t>Confectionery</t>
        </is>
      </c>
      <c r="B5" s="12" t="inlineStr">
        <is>
          <t>Twirl 43g</t>
        </is>
      </c>
      <c r="C5" s="12" t="inlineStr">
        <is>
          <t>Cadbury</t>
        </is>
      </c>
      <c r="D5" s="12" t="inlineStr">
        <is>
          <t>48</t>
        </is>
      </c>
      <c r="E5" s="13" t="n">
        <v>0.52</v>
      </c>
      <c r="F5" s="12" t="inlineStr">
        <is>
          <t>benchmark</t>
        </is>
      </c>
      <c r="G5" s="13" t="n">
        <v>1.3</v>
      </c>
      <c r="H5" s="14">
        <f>G5-E5</f>
        <v/>
      </c>
      <c r="I5" s="9">
        <f>(G5-E5)/G5</f>
        <v/>
      </c>
      <c r="J5" s="14">
        <f>G5*0.029</f>
        <v/>
      </c>
      <c r="K5" s="14">
        <f>H5-J5</f>
        <v/>
      </c>
      <c r="L5" s="9">
        <f>K5/G5</f>
        <v/>
      </c>
      <c r="M5" s="12" t="inlineStr">
        <is>
          <t>Universal</t>
        </is>
      </c>
      <c r="N5" s="12" t="inlineStr">
        <is>
          <t>Est. — benchmark range £0.45-0.60. Cadbury countline, consistent seller.</t>
        </is>
      </c>
    </row>
    <row r="6">
      <c r="A6" s="12" t="inlineStr">
        <is>
          <t>Confectionery</t>
        </is>
      </c>
      <c r="B6" s="12" t="inlineStr">
        <is>
          <t>Dairy Milk 45g</t>
        </is>
      </c>
      <c r="C6" s="12" t="inlineStr">
        <is>
          <t>Cadbury</t>
        </is>
      </c>
      <c r="D6" s="12" t="inlineStr">
        <is>
          <t>48</t>
        </is>
      </c>
      <c r="E6" s="13" t="n">
        <v>0.55</v>
      </c>
      <c r="F6" s="12" t="inlineStr">
        <is>
          <t>benchmark</t>
        </is>
      </c>
      <c r="G6" s="13" t="n">
        <v>1.4</v>
      </c>
      <c r="H6" s="14">
        <f>G6-E6</f>
        <v/>
      </c>
      <c r="I6" s="9">
        <f>(G6-E6)/G6</f>
        <v/>
      </c>
      <c r="J6" s="14">
        <f>G6*0.029</f>
        <v/>
      </c>
      <c r="K6" s="14">
        <f>H6-J6</f>
        <v/>
      </c>
      <c r="L6" s="9">
        <f>K6/G6</f>
        <v/>
      </c>
      <c r="M6" s="12" t="inlineStr">
        <is>
          <t>Universal</t>
        </is>
      </c>
      <c r="N6" s="12" t="inlineStr">
        <is>
          <t>Est. — benchmark range £0.45-0.65. Flagship Cadbury bar.</t>
        </is>
      </c>
    </row>
    <row r="7">
      <c r="A7" s="12" t="inlineStr">
        <is>
          <t>Confectionery</t>
        </is>
      </c>
      <c r="B7" s="12" t="inlineStr">
        <is>
          <t>Maltesers 37g</t>
        </is>
      </c>
      <c r="C7" s="12" t="inlineStr">
        <is>
          <t>Mars</t>
        </is>
      </c>
      <c r="D7" s="12" t="inlineStr">
        <is>
          <t>25</t>
        </is>
      </c>
      <c r="E7" s="13" t="n">
        <v>0.52</v>
      </c>
      <c r="F7" s="12" t="inlineStr">
        <is>
          <t>benchmark</t>
        </is>
      </c>
      <c r="G7" s="13" t="n">
        <v>1.3</v>
      </c>
      <c r="H7" s="14">
        <f>G7-E7</f>
        <v/>
      </c>
      <c r="I7" s="9">
        <f>(G7-E7)/G7</f>
        <v/>
      </c>
      <c r="J7" s="14">
        <f>G7*0.029</f>
        <v/>
      </c>
      <c r="K7" s="14">
        <f>H7-J7</f>
        <v/>
      </c>
      <c r="L7" s="9">
        <f>K7/G7</f>
        <v/>
      </c>
      <c r="M7" s="12" t="inlineStr">
        <is>
          <t>Universal</t>
        </is>
      </c>
      <c r="N7" s="12" t="inlineStr">
        <is>
          <t>Est. — benchmark range £0.45-0.60. Bag format, lighter weight.</t>
        </is>
      </c>
    </row>
    <row r="8">
      <c r="A8" s="12" t="inlineStr">
        <is>
          <t>Confectionery</t>
        </is>
      </c>
      <c r="B8" s="12" t="inlineStr">
        <is>
          <t>Skittles Fruits 45g</t>
        </is>
      </c>
      <c r="C8" s="12" t="inlineStr">
        <is>
          <t>Mars</t>
        </is>
      </c>
      <c r="D8" s="12" t="inlineStr">
        <is>
          <t>36</t>
        </is>
      </c>
      <c r="E8" s="13" t="n">
        <v>0.48</v>
      </c>
      <c r="F8" s="12" t="inlineStr">
        <is>
          <t>benchmark</t>
        </is>
      </c>
      <c r="G8" s="13" t="n">
        <v>1.2</v>
      </c>
      <c r="H8" s="14">
        <f>G8-E8</f>
        <v/>
      </c>
      <c r="I8" s="9">
        <f>(G8-E8)/G8</f>
        <v/>
      </c>
      <c r="J8" s="14">
        <f>G8*0.029</f>
        <v/>
      </c>
      <c r="K8" s="14">
        <f>H8-J8</f>
        <v/>
      </c>
      <c r="L8" s="9">
        <f>K8/G8</f>
        <v/>
      </c>
      <c r="M8" s="12" t="inlineStr">
        <is>
          <t>Universal</t>
        </is>
      </c>
      <c r="N8" s="12" t="inlineStr">
        <is>
          <t>Est. — benchmark range £0.40-0.55. Sugar confectionery, lower wholesale than chocolate.</t>
        </is>
      </c>
    </row>
    <row r="9">
      <c r="A9" s="12" t="inlineStr">
        <is>
          <t>Confectionery</t>
        </is>
      </c>
      <c r="B9" s="12" t="inlineStr">
        <is>
          <t>Haribo Starmix 40g</t>
        </is>
      </c>
      <c r="C9" s="12" t="inlineStr">
        <is>
          <t>Haribo</t>
        </is>
      </c>
      <c r="D9" s="12" t="inlineStr">
        <is>
          <t>36</t>
        </is>
      </c>
      <c r="E9" s="13" t="n">
        <v>0.45</v>
      </c>
      <c r="F9" s="12" t="inlineStr">
        <is>
          <t>benchmark</t>
        </is>
      </c>
      <c r="G9" s="13" t="n">
        <v>1.2</v>
      </c>
      <c r="H9" s="14">
        <f>G9-E9</f>
        <v/>
      </c>
      <c r="I9" s="9">
        <f>(G9-E9)/G9</f>
        <v/>
      </c>
      <c r="J9" s="14">
        <f>G9*0.029</f>
        <v/>
      </c>
      <c r="K9" s="14">
        <f>H9-J9</f>
        <v/>
      </c>
      <c r="L9" s="9">
        <f>K9/G9</f>
        <v/>
      </c>
      <c r="M9" s="12" t="inlineStr">
        <is>
          <t>Universal</t>
        </is>
      </c>
      <c r="N9" s="12" t="inlineStr">
        <is>
          <t>Est. — benchmark range £0.40-0.55. Grab bag format for vending.</t>
        </is>
      </c>
    </row>
    <row r="10">
      <c r="A10" s="12" t="inlineStr">
        <is>
          <t>Confectionery</t>
        </is>
      </c>
      <c r="B10" s="12" t="inlineStr">
        <is>
          <t>Kinder Bueno 43g</t>
        </is>
      </c>
      <c r="C10" s="12" t="inlineStr">
        <is>
          <t>Ferrero</t>
        </is>
      </c>
      <c r="D10" s="12" t="inlineStr">
        <is>
          <t>30</t>
        </is>
      </c>
      <c r="E10" s="13" t="n">
        <v>0.6</v>
      </c>
      <c r="F10" s="12" t="inlineStr">
        <is>
          <t>benchmark</t>
        </is>
      </c>
      <c r="G10" s="13" t="n">
        <v>1.5</v>
      </c>
      <c r="H10" s="14">
        <f>G10-E10</f>
        <v/>
      </c>
      <c r="I10" s="9">
        <f>(G10-E10)/G10</f>
        <v/>
      </c>
      <c r="J10" s="14">
        <f>G10*0.029</f>
        <v/>
      </c>
      <c r="K10" s="14">
        <f>H10-J10</f>
        <v/>
      </c>
      <c r="L10" s="9">
        <f>K10/G10</f>
        <v/>
      </c>
      <c r="M10" s="12" t="inlineStr">
        <is>
          <t>Universal</t>
        </is>
      </c>
      <c r="N10" s="12" t="inlineStr">
        <is>
          <t>Est. — benchmark range £0.55-0.70. Premium countline, higher wholesale than standard bars.</t>
        </is>
      </c>
    </row>
    <row r="11">
      <c r="A11" s="12" t="inlineStr">
        <is>
          <t>Confectionery</t>
        </is>
      </c>
      <c r="B11" s="12" t="inlineStr">
        <is>
          <t>Bounty 57g</t>
        </is>
      </c>
      <c r="C11" s="12" t="inlineStr">
        <is>
          <t>Mars</t>
        </is>
      </c>
      <c r="D11" s="12" t="inlineStr">
        <is>
          <t>24</t>
        </is>
      </c>
      <c r="E11" s="13" t="n">
        <v>0.55</v>
      </c>
      <c r="F11" s="12" t="inlineStr">
        <is>
          <t>benchmark</t>
        </is>
      </c>
      <c r="G11" s="13" t="n">
        <v>1.4</v>
      </c>
      <c r="H11" s="14">
        <f>G11-E11</f>
        <v/>
      </c>
      <c r="I11" s="9">
        <f>(G11-E11)/G11</f>
        <v/>
      </c>
      <c r="J11" s="14">
        <f>G11*0.029</f>
        <v/>
      </c>
      <c r="K11" s="14">
        <f>H11-J11</f>
        <v/>
      </c>
      <c r="L11" s="9">
        <f>K11/G11</f>
        <v/>
      </c>
      <c r="M11" s="12" t="inlineStr">
        <is>
          <t>Universal</t>
        </is>
      </c>
      <c r="N11" s="12" t="inlineStr">
        <is>
          <t>Est. — benchmark range £0.45-0.65. Twin bar, slightly heavier.</t>
        </is>
      </c>
    </row>
    <row r="12">
      <c r="A12" s="12" t="inlineStr">
        <is>
          <t>Crisps</t>
        </is>
      </c>
      <c r="B12" s="12" t="inlineStr">
        <is>
          <t>Walkers Cheese &amp; Onion Grab Bag 45g</t>
        </is>
      </c>
      <c r="C12" s="12" t="inlineStr">
        <is>
          <t>Walkers</t>
        </is>
      </c>
      <c r="D12" s="12" t="inlineStr">
        <is>
          <t>32</t>
        </is>
      </c>
      <c r="E12" s="13" t="n">
        <v>0.48</v>
      </c>
      <c r="F12" s="12" t="inlineStr">
        <is>
          <t>JJ Food Service</t>
        </is>
      </c>
      <c r="G12" s="13" t="n">
        <v>1.2</v>
      </c>
      <c r="H12" s="14">
        <f>G12-E12</f>
        <v/>
      </c>
      <c r="I12" s="9">
        <f>(G12-E12)/G12</f>
        <v/>
      </c>
      <c r="J12" s="14">
        <f>G12*0.029</f>
        <v/>
      </c>
      <c r="K12" s="14">
        <f>H12-J12</f>
        <v/>
      </c>
      <c r="L12" s="9">
        <f>K12/G12</f>
        <v/>
      </c>
      <c r="M12" s="12" t="inlineStr">
        <is>
          <t>Universal</t>
        </is>
      </c>
      <c r="N12" s="12" t="inlineStr">
        <is>
          <t>Confirmed — JJ Food Service from £15.49/case of 32 (£0.48/bag collection price, 20+ cases). Standard delivery £20.99/case (£0.66/bag). Grab bag format essential for vending.</t>
        </is>
      </c>
    </row>
    <row r="13">
      <c r="A13" s="12" t="inlineStr">
        <is>
          <t>Crisps</t>
        </is>
      </c>
      <c r="B13" s="12" t="inlineStr">
        <is>
          <t>Walkers Ready Salted Grab Bag 45g</t>
        </is>
      </c>
      <c r="C13" s="12" t="inlineStr">
        <is>
          <t>Walkers</t>
        </is>
      </c>
      <c r="D13" s="12" t="inlineStr">
        <is>
          <t>32</t>
        </is>
      </c>
      <c r="E13" s="13" t="n">
        <v>0.48</v>
      </c>
      <c r="F13" s="12" t="inlineStr">
        <is>
          <t>JJ Food Service</t>
        </is>
      </c>
      <c r="G13" s="13" t="n">
        <v>1.2</v>
      </c>
      <c r="H13" s="14">
        <f>G13-E13</f>
        <v/>
      </c>
      <c r="I13" s="9">
        <f>(G13-E13)/G13</f>
        <v/>
      </c>
      <c r="J13" s="14">
        <f>G13*0.029</f>
        <v/>
      </c>
      <c r="K13" s="14">
        <f>H13-J13</f>
        <v/>
      </c>
      <c r="L13" s="9">
        <f>K13/G13</f>
        <v/>
      </c>
      <c r="M13" s="12" t="inlineStr">
        <is>
          <t>Universal</t>
        </is>
      </c>
      <c r="N13" s="12" t="inlineStr">
        <is>
          <t>Confirmed — JJ Food Service from £15.49/case of 32 (£0.48/bag collection price, 20+ cases). Second most popular Walkers flavour.</t>
        </is>
      </c>
    </row>
    <row r="14">
      <c r="A14" s="12" t="inlineStr">
        <is>
          <t>Crisps</t>
        </is>
      </c>
      <c r="B14" s="12" t="inlineStr">
        <is>
          <t>McCoy's Salt &amp; Vinegar Grab Bag 45g</t>
        </is>
      </c>
      <c r="C14" s="12" t="inlineStr">
        <is>
          <t>KP</t>
        </is>
      </c>
      <c r="D14" s="12" t="inlineStr">
        <is>
          <t>30</t>
        </is>
      </c>
      <c r="E14" s="13" t="n">
        <v>0.52</v>
      </c>
      <c r="F14" s="12" t="inlineStr">
        <is>
          <t>benchmark</t>
        </is>
      </c>
      <c r="G14" s="13" t="n">
        <v>1.3</v>
      </c>
      <c r="H14" s="14">
        <f>G14-E14</f>
        <v/>
      </c>
      <c r="I14" s="9">
        <f>(G14-E14)/G14</f>
        <v/>
      </c>
      <c r="J14" s="14">
        <f>G14*0.029</f>
        <v/>
      </c>
      <c r="K14" s="14">
        <f>H14-J14</f>
        <v/>
      </c>
      <c r="L14" s="9">
        <f>K14/G14</f>
        <v/>
      </c>
      <c r="M14" s="12" t="inlineStr">
        <is>
          <t>Universal</t>
        </is>
      </c>
      <c r="N14" s="12" t="inlineStr">
        <is>
          <t>Est. — benchmark range £0.45-0.60. Ridge cut, perceived premium over Walkers.</t>
        </is>
      </c>
    </row>
    <row r="15">
      <c r="A15" s="12" t="inlineStr">
        <is>
          <t>Crisps</t>
        </is>
      </c>
      <c r="B15" s="12" t="inlineStr">
        <is>
          <t>Doritos Chilli Heatwave 40g</t>
        </is>
      </c>
      <c r="C15" s="12" t="inlineStr">
        <is>
          <t>Walkers</t>
        </is>
      </c>
      <c r="D15" s="12" t="inlineStr">
        <is>
          <t>32</t>
        </is>
      </c>
      <c r="E15" s="13" t="n">
        <v>0.55</v>
      </c>
      <c r="F15" s="12" t="inlineStr">
        <is>
          <t>benchmark</t>
        </is>
      </c>
      <c r="G15" s="13" t="n">
        <v>1.4</v>
      </c>
      <c r="H15" s="14">
        <f>G15-E15</f>
        <v/>
      </c>
      <c r="I15" s="9">
        <f>(G15-E15)/G15</f>
        <v/>
      </c>
      <c r="J15" s="14">
        <f>G15*0.029</f>
        <v/>
      </c>
      <c r="K15" s="14">
        <f>H15-J15</f>
        <v/>
      </c>
      <c r="L15" s="9">
        <f>K15/G15</f>
        <v/>
      </c>
      <c r="M15" s="12" t="inlineStr">
        <is>
          <t>Universal</t>
        </is>
      </c>
      <c r="N15" s="12" t="inlineStr">
        <is>
          <t>Est. — benchmark range £0.45-0.65. Tortilla chip, popular in younger demographics.</t>
        </is>
      </c>
    </row>
    <row r="16">
      <c r="A16" s="12" t="inlineStr">
        <is>
          <t>Crisps</t>
        </is>
      </c>
      <c r="B16" s="12" t="inlineStr">
        <is>
          <t>Pom-Bear Original 19g</t>
        </is>
      </c>
      <c r="C16" s="12" t="inlineStr">
        <is>
          <t>Intersnack</t>
        </is>
      </c>
      <c r="D16" s="12" t="inlineStr">
        <is>
          <t>36</t>
        </is>
      </c>
      <c r="E16" s="13" t="n">
        <v>0.35</v>
      </c>
      <c r="F16" s="12" t="inlineStr">
        <is>
          <t>benchmark</t>
        </is>
      </c>
      <c r="G16" s="13" t="n">
        <v>1</v>
      </c>
      <c r="H16" s="14">
        <f>G16-E16</f>
        <v/>
      </c>
      <c r="I16" s="9">
        <f>(G16-E16)/G16</f>
        <v/>
      </c>
      <c r="J16" s="14">
        <f>G16*0.029</f>
        <v/>
      </c>
      <c r="K16" s="14">
        <f>H16-J16</f>
        <v/>
      </c>
      <c r="L16" s="9">
        <f>K16/G16</f>
        <v/>
      </c>
      <c r="M16" s="12" t="inlineStr">
        <is>
          <t>Leisure/Family</t>
        </is>
      </c>
      <c r="N16" s="12" t="inlineStr">
        <is>
          <t>Est. — benchmark range £0.30-0.45. Lighter pack, kid-friendly, lower price point.</t>
        </is>
      </c>
    </row>
    <row r="17">
      <c r="A17" s="12" t="inlineStr">
        <is>
          <t>Crisps</t>
        </is>
      </c>
      <c r="B17" s="12" t="inlineStr">
        <is>
          <t>Kettle Lightly Salted 40g</t>
        </is>
      </c>
      <c r="C17" s="12" t="inlineStr">
        <is>
          <t>Kettle</t>
        </is>
      </c>
      <c r="D17" s="12" t="inlineStr">
        <is>
          <t>18</t>
        </is>
      </c>
      <c r="E17" s="13" t="n">
        <v>0.65</v>
      </c>
      <c r="F17" s="12" t="inlineStr">
        <is>
          <t>benchmark</t>
        </is>
      </c>
      <c r="G17" s="13" t="n">
        <v>1.6</v>
      </c>
      <c r="H17" s="14">
        <f>G17-E17</f>
        <v/>
      </c>
      <c r="I17" s="9">
        <f>(G17-E17)/G17</f>
        <v/>
      </c>
      <c r="J17" s="14">
        <f>G17*0.029</f>
        <v/>
      </c>
      <c r="K17" s="14">
        <f>H17-J17</f>
        <v/>
      </c>
      <c r="L17" s="9">
        <f>K17/G17</f>
        <v/>
      </c>
      <c r="M17" s="12" t="inlineStr">
        <is>
          <t>Office/Premium</t>
        </is>
      </c>
      <c r="N17" s="12" t="inlineStr">
        <is>
          <t>Est. — benchmark range £0.55-0.75. Premium positioning, smaller case sizes push cost up.</t>
        </is>
      </c>
    </row>
    <row r="18">
      <c r="A18" s="12" t="inlineStr">
        <is>
          <t>Crisps</t>
        </is>
      </c>
      <c r="B18" s="12" t="inlineStr">
        <is>
          <t>Quavers Cheese 34g</t>
        </is>
      </c>
      <c r="C18" s="12" t="inlineStr">
        <is>
          <t>Walkers</t>
        </is>
      </c>
      <c r="D18" s="12" t="inlineStr">
        <is>
          <t>32</t>
        </is>
      </c>
      <c r="E18" s="13" t="n">
        <v>0.45</v>
      </c>
      <c r="F18" s="12" t="inlineStr">
        <is>
          <t>benchmark</t>
        </is>
      </c>
      <c r="G18" s="13" t="n">
        <v>1.1</v>
      </c>
      <c r="H18" s="14">
        <f>G18-E18</f>
        <v/>
      </c>
      <c r="I18" s="9">
        <f>(G18-E18)/G18</f>
        <v/>
      </c>
      <c r="J18" s="14">
        <f>G18*0.029</f>
        <v/>
      </c>
      <c r="K18" s="14">
        <f>H18-J18</f>
        <v/>
      </c>
      <c r="L18" s="9">
        <f>K18/G18</f>
        <v/>
      </c>
      <c r="M18" s="12" t="inlineStr">
        <is>
          <t>Universal</t>
        </is>
      </c>
      <c r="N18" s="12" t="inlineStr">
        <is>
          <t>Est. — benchmark range £0.38-0.55. Lighter snack, grab bag format.</t>
        </is>
      </c>
    </row>
    <row r="19">
      <c r="A19" s="12" t="inlineStr">
        <is>
          <t>Crisps</t>
        </is>
      </c>
      <c r="B19" s="12" t="inlineStr">
        <is>
          <t>Wotsits Really Cheesy 36g</t>
        </is>
      </c>
      <c r="C19" s="12" t="inlineStr">
        <is>
          <t>Walkers</t>
        </is>
      </c>
      <c r="D19" s="12" t="inlineStr">
        <is>
          <t>32</t>
        </is>
      </c>
      <c r="E19" s="13" t="n">
        <v>0.45</v>
      </c>
      <c r="F19" s="12" t="inlineStr">
        <is>
          <t>benchmark</t>
        </is>
      </c>
      <c r="G19" s="13" t="n">
        <v>1.1</v>
      </c>
      <c r="H19" s="14">
        <f>G19-E19</f>
        <v/>
      </c>
      <c r="I19" s="9">
        <f>(G19-E19)/G19</f>
        <v/>
      </c>
      <c r="J19" s="14">
        <f>G19*0.029</f>
        <v/>
      </c>
      <c r="K19" s="14">
        <f>H19-J19</f>
        <v/>
      </c>
      <c r="L19" s="9">
        <f>K19/G19</f>
        <v/>
      </c>
      <c r="M19" s="12" t="inlineStr">
        <is>
          <t>Universal</t>
        </is>
      </c>
      <c r="N19" s="12" t="inlineStr">
        <is>
          <t>Est. — benchmark range £0.38-0.55. Grab bag format for vending.</t>
        </is>
      </c>
    </row>
    <row r="20">
      <c r="A20" s="12" t="inlineStr">
        <is>
          <t>Cold Drinks</t>
        </is>
      </c>
      <c r="B20" s="12" t="inlineStr">
        <is>
          <t>Coca-Cola Original 330ml Can</t>
        </is>
      </c>
      <c r="C20" s="12" t="inlineStr">
        <is>
          <t>Coca-Cola</t>
        </is>
      </c>
      <c r="D20" s="12" t="inlineStr">
        <is>
          <t>24</t>
        </is>
      </c>
      <c r="E20" s="13" t="n">
        <v>0.54</v>
      </c>
      <c r="F20" s="12" t="inlineStr">
        <is>
          <t>MX Wholesale</t>
        </is>
      </c>
      <c r="G20" s="13" t="n">
        <v>1.3</v>
      </c>
      <c r="H20" s="14">
        <f>G20-E20</f>
        <v/>
      </c>
      <c r="I20" s="9">
        <f>(G20-E20)/G20</f>
        <v/>
      </c>
      <c r="J20" s="14">
        <f>G20*0.029</f>
        <v/>
      </c>
      <c r="K20" s="14">
        <f>H20-J20</f>
        <v/>
      </c>
      <c r="L20" s="9">
        <f>K20/G20</f>
        <v/>
      </c>
      <c r="M20" s="12" t="inlineStr">
        <is>
          <t>Universal</t>
        </is>
      </c>
      <c r="N20" s="12" t="inlineStr">
        <is>
          <t>Confirmed — MX Wholesale £13.00/case of 24 (£0.54/can). Other suppliers £9.99-£13.00/case. Number one selling vending SKU in UK.</t>
        </is>
      </c>
    </row>
    <row r="21">
      <c r="A21" s="12" t="inlineStr">
        <is>
          <t>Cold Drinks</t>
        </is>
      </c>
      <c r="B21" s="12" t="inlineStr">
        <is>
          <t>Diet Coke 330ml Can</t>
        </is>
      </c>
      <c r="C21" s="12" t="inlineStr">
        <is>
          <t>Coca-Cola</t>
        </is>
      </c>
      <c r="D21" s="12" t="inlineStr">
        <is>
          <t>24</t>
        </is>
      </c>
      <c r="E21" s="13" t="n">
        <v>0.45</v>
      </c>
      <c r="F21" s="12" t="inlineStr">
        <is>
          <t>benchmark</t>
        </is>
      </c>
      <c r="G21" s="13" t="n">
        <v>1.3</v>
      </c>
      <c r="H21" s="14">
        <f>G21-E21</f>
        <v/>
      </c>
      <c r="I21" s="9">
        <f>(G21-E21)/G21</f>
        <v/>
      </c>
      <c r="J21" s="14">
        <f>G21*0.029</f>
        <v/>
      </c>
      <c r="K21" s="14">
        <f>H21-J21</f>
        <v/>
      </c>
      <c r="L21" s="9">
        <f>K21/G21</f>
        <v/>
      </c>
      <c r="M21" s="12" t="inlineStr">
        <is>
          <t>Universal</t>
        </is>
      </c>
      <c r="N21" s="12" t="inlineStr">
        <is>
          <t>Est. — benchmark range £0.40-0.55. Strong office performer.</t>
        </is>
      </c>
    </row>
    <row r="22">
      <c r="A22" s="12" t="inlineStr">
        <is>
          <t>Cold Drinks</t>
        </is>
      </c>
      <c r="B22" s="12" t="inlineStr">
        <is>
          <t>Fanta Orange 330ml Can</t>
        </is>
      </c>
      <c r="C22" s="12" t="inlineStr">
        <is>
          <t>Coca-Cola</t>
        </is>
      </c>
      <c r="D22" s="12" t="inlineStr">
        <is>
          <t>24</t>
        </is>
      </c>
      <c r="E22" s="13" t="n">
        <v>0.42</v>
      </c>
      <c r="F22" s="12" t="inlineStr">
        <is>
          <t>benchmark</t>
        </is>
      </c>
      <c r="G22" s="13" t="n">
        <v>1.2</v>
      </c>
      <c r="H22" s="14">
        <f>G22-E22</f>
        <v/>
      </c>
      <c r="I22" s="9">
        <f>(G22-E22)/G22</f>
        <v/>
      </c>
      <c r="J22" s="14">
        <f>G22*0.029</f>
        <v/>
      </c>
      <c r="K22" s="14">
        <f>H22-J22</f>
        <v/>
      </c>
      <c r="L22" s="9">
        <f>K22/G22</f>
        <v/>
      </c>
      <c r="M22" s="12" t="inlineStr">
        <is>
          <t>Universal</t>
        </is>
      </c>
      <c r="N22" s="12" t="inlineStr">
        <is>
          <t>Est. — benchmark range £0.38-0.50. Third in Coca-Cola range.</t>
        </is>
      </c>
    </row>
    <row r="23">
      <c r="A23" s="12" t="inlineStr">
        <is>
          <t>Cold Drinks</t>
        </is>
      </c>
      <c r="B23" s="12" t="inlineStr">
        <is>
          <t>Pepsi 330ml Can</t>
        </is>
      </c>
      <c r="C23" s="12" t="inlineStr">
        <is>
          <t>PepsiCo</t>
        </is>
      </c>
      <c r="D23" s="12" t="inlineStr">
        <is>
          <t>24</t>
        </is>
      </c>
      <c r="E23" s="13" t="n">
        <v>0.4</v>
      </c>
      <c r="F23" s="12" t="inlineStr">
        <is>
          <t>benchmark</t>
        </is>
      </c>
      <c r="G23" s="13" t="n">
        <v>1.2</v>
      </c>
      <c r="H23" s="14">
        <f>G23-E23</f>
        <v/>
      </c>
      <c r="I23" s="9">
        <f>(G23-E23)/G23</f>
        <v/>
      </c>
      <c r="J23" s="14">
        <f>G23*0.029</f>
        <v/>
      </c>
      <c r="K23" s="14">
        <f>H23-J23</f>
        <v/>
      </c>
      <c r="L23" s="9">
        <f>K23/G23</f>
        <v/>
      </c>
      <c r="M23" s="12" t="inlineStr">
        <is>
          <t>Universal</t>
        </is>
      </c>
      <c r="N23" s="12" t="inlineStr">
        <is>
          <t>Est. — benchmark range £0.35-0.50. Often slightly cheaper wholesale than Coke.</t>
        </is>
      </c>
    </row>
    <row r="24">
      <c r="A24" s="12" t="inlineStr">
        <is>
          <t>Cold Drinks</t>
        </is>
      </c>
      <c r="B24" s="12" t="inlineStr">
        <is>
          <t>7Up 330ml Can</t>
        </is>
      </c>
      <c r="C24" s="12" t="inlineStr">
        <is>
          <t>PepsiCo</t>
        </is>
      </c>
      <c r="D24" s="12" t="inlineStr">
        <is>
          <t>24</t>
        </is>
      </c>
      <c r="E24" s="13" t="n">
        <v>0.4</v>
      </c>
      <c r="F24" s="12" t="inlineStr">
        <is>
          <t>benchmark</t>
        </is>
      </c>
      <c r="G24" s="13" t="n">
        <v>1.2</v>
      </c>
      <c r="H24" s="14">
        <f>G24-E24</f>
        <v/>
      </c>
      <c r="I24" s="9">
        <f>(G24-E24)/G24</f>
        <v/>
      </c>
      <c r="J24" s="14">
        <f>G24*0.029</f>
        <v/>
      </c>
      <c r="K24" s="14">
        <f>H24-J24</f>
        <v/>
      </c>
      <c r="L24" s="9">
        <f>K24/G24</f>
        <v/>
      </c>
      <c r="M24" s="12" t="inlineStr">
        <is>
          <t>Universal</t>
        </is>
      </c>
      <c r="N24" s="12" t="inlineStr">
        <is>
          <t>Est. — benchmark range £0.35-0.50. Lemon-lime alternative.</t>
        </is>
      </c>
    </row>
    <row r="25">
      <c r="A25" s="12" t="inlineStr">
        <is>
          <t>Cold Drinks</t>
        </is>
      </c>
      <c r="B25" s="12" t="inlineStr">
        <is>
          <t>Lucozade Original 380ml</t>
        </is>
      </c>
      <c r="C25" s="12" t="inlineStr">
        <is>
          <t>Suntory</t>
        </is>
      </c>
      <c r="D25" s="12" t="inlineStr">
        <is>
          <t>24</t>
        </is>
      </c>
      <c r="E25" s="13" t="n">
        <v>0.65</v>
      </c>
      <c r="F25" s="12" t="inlineStr">
        <is>
          <t>benchmark</t>
        </is>
      </c>
      <c r="G25" s="13" t="n">
        <v>1.6</v>
      </c>
      <c r="H25" s="14">
        <f>G25-E25</f>
        <v/>
      </c>
      <c r="I25" s="9">
        <f>(G25-E25)/G25</f>
        <v/>
      </c>
      <c r="J25" s="14">
        <f>G25*0.029</f>
        <v/>
      </c>
      <c r="K25" s="14">
        <f>H25-J25</f>
        <v/>
      </c>
      <c r="L25" s="9">
        <f>K25/G25</f>
        <v/>
      </c>
      <c r="M25" s="12" t="inlineStr">
        <is>
          <t>Universal</t>
        </is>
      </c>
      <c r="N25" s="12" t="inlineStr">
        <is>
          <t>Est. — benchmark range £0.55-0.75. Bottle format, higher wholesale than cans. HFSS note.</t>
        </is>
      </c>
    </row>
    <row r="26">
      <c r="A26" s="12" t="inlineStr">
        <is>
          <t>Cold Drinks</t>
        </is>
      </c>
      <c r="B26" s="12" t="inlineStr">
        <is>
          <t>Lipton Iced Tea Peach 330ml Can</t>
        </is>
      </c>
      <c r="C26" s="12" t="inlineStr">
        <is>
          <t>PepsiCo</t>
        </is>
      </c>
      <c r="D26" s="12" t="inlineStr">
        <is>
          <t>24</t>
        </is>
      </c>
      <c r="E26" s="13" t="n">
        <v>0.55</v>
      </c>
      <c r="F26" s="12" t="inlineStr">
        <is>
          <t>benchmark</t>
        </is>
      </c>
      <c r="G26" s="13" t="n">
        <v>1.8</v>
      </c>
      <c r="H26" s="14">
        <f>G26-E26</f>
        <v/>
      </c>
      <c r="I26" s="9">
        <f>(G26-E26)/G26</f>
        <v/>
      </c>
      <c r="J26" s="14">
        <f>G26*0.029</f>
        <v/>
      </c>
      <c r="K26" s="14">
        <f>H26-J26</f>
        <v/>
      </c>
      <c r="L26" s="9">
        <f>K26/G26</f>
        <v/>
      </c>
      <c r="M26" s="12" t="inlineStr">
        <is>
          <t>Office/Premium</t>
        </is>
      </c>
      <c r="N26" s="12" t="inlineStr">
        <is>
          <t>Confirmed vend price £1.80 (user data). Wholesale est. £0.50-0.65. Growing category.</t>
        </is>
      </c>
    </row>
    <row r="27">
      <c r="A27" s="12" t="inlineStr">
        <is>
          <t>Cold Drinks</t>
        </is>
      </c>
      <c r="B27" s="12" t="inlineStr">
        <is>
          <t>Monster Energy 500ml Can</t>
        </is>
      </c>
      <c r="C27" s="12" t="inlineStr">
        <is>
          <t>Monster</t>
        </is>
      </c>
      <c r="D27" s="12" t="inlineStr">
        <is>
          <t>12</t>
        </is>
      </c>
      <c r="E27" s="13" t="n">
        <v>0.82</v>
      </c>
      <c r="F27" s="12" t="inlineStr">
        <is>
          <t>Bestway</t>
        </is>
      </c>
      <c r="G27" s="13" t="n">
        <v>2</v>
      </c>
      <c r="H27" s="14">
        <f>G27-E27</f>
        <v/>
      </c>
      <c r="I27" s="9">
        <f>(G27-E27)/G27</f>
        <v/>
      </c>
      <c r="J27" s="14">
        <f>G27*0.029</f>
        <v/>
      </c>
      <c r="K27" s="14">
        <f>H27-J27</f>
        <v/>
      </c>
      <c r="L27" s="9">
        <f>K27/G27</f>
        <v/>
      </c>
      <c r="M27" s="12" t="inlineStr">
        <is>
          <t>Universal</t>
        </is>
      </c>
      <c r="N27" s="12" t="inlineStr">
        <is>
          <t>Confirmed — Bestway £9.89/case of 12 (£0.82/can). PMP £1.65-£1.75. Vend price above PMP acceptable in captive locations.</t>
        </is>
      </c>
    </row>
    <row r="28">
      <c r="A28" s="12" t="inlineStr">
        <is>
          <t>Cold Drinks</t>
        </is>
      </c>
      <c r="B28" s="12" t="inlineStr">
        <is>
          <t>Red Bull 250ml Can</t>
        </is>
      </c>
      <c r="C28" s="12" t="inlineStr">
        <is>
          <t>Red Bull</t>
        </is>
      </c>
      <c r="D28" s="12" t="inlineStr">
        <is>
          <t>24</t>
        </is>
      </c>
      <c r="E28" s="13" t="n">
        <v>1.35</v>
      </c>
      <c r="F28" s="12" t="inlineStr">
        <is>
          <t>MX Wholesale</t>
        </is>
      </c>
      <c r="G28" s="13" t="n">
        <v>2</v>
      </c>
      <c r="H28" s="14">
        <f>G28-E28</f>
        <v/>
      </c>
      <c r="I28" s="9">
        <f>(G28-E28)/G28</f>
        <v/>
      </c>
      <c r="J28" s="14">
        <f>G28*0.029</f>
        <v/>
      </c>
      <c r="K28" s="14">
        <f>H28-J28</f>
        <v/>
      </c>
      <c r="L28" s="9">
        <f>K28/G28</f>
        <v/>
      </c>
      <c r="M28" s="12" t="inlineStr">
        <is>
          <t>Office/Gym</t>
        </is>
      </c>
      <c r="N28" s="12" t="inlineStr">
        <is>
          <t>Confirmed — MX Wholesale £1.35/can PMP. Wholesale range £1.35-1.65/can across suppliers. Tight margin at £2.00 vend; consider £2.20 in premium locations.</t>
        </is>
      </c>
    </row>
    <row r="29">
      <c r="A29" s="12" t="inlineStr">
        <is>
          <t>Cold Drinks</t>
        </is>
      </c>
      <c r="B29" s="12" t="inlineStr">
        <is>
          <t>Oasis Citrus Punch 500ml</t>
        </is>
      </c>
      <c r="C29" s="12" t="inlineStr">
        <is>
          <t>Coca-Cola</t>
        </is>
      </c>
      <c r="D29" s="12" t="inlineStr">
        <is>
          <t>12</t>
        </is>
      </c>
      <c r="E29" s="13" t="n">
        <v>0.55</v>
      </c>
      <c r="F29" s="12" t="inlineStr">
        <is>
          <t>benchmark</t>
        </is>
      </c>
      <c r="G29" s="13" t="n">
        <v>1.4</v>
      </c>
      <c r="H29" s="14">
        <f>G29-E29</f>
        <v/>
      </c>
      <c r="I29" s="9">
        <f>(G29-E29)/G29</f>
        <v/>
      </c>
      <c r="J29" s="14">
        <f>G29*0.029</f>
        <v/>
      </c>
      <c r="K29" s="14">
        <f>H29-J29</f>
        <v/>
      </c>
      <c r="L29" s="9">
        <f>K29/G29</f>
        <v/>
      </c>
      <c r="M29" s="12" t="inlineStr">
        <is>
          <t>Universal</t>
        </is>
      </c>
      <c r="N29" s="12" t="inlineStr">
        <is>
          <t>Est. — benchmark range £0.45-0.65. Juice drink, 500ml bottle.</t>
        </is>
      </c>
    </row>
    <row r="30">
      <c r="A30" s="12" t="inlineStr">
        <is>
          <t>Water</t>
        </is>
      </c>
      <c r="B30" s="12" t="inlineStr">
        <is>
          <t>Highland Spring Still 500ml</t>
        </is>
      </c>
      <c r="C30" s="12" t="inlineStr">
        <is>
          <t>Highland Spring</t>
        </is>
      </c>
      <c r="D30" s="12" t="inlineStr">
        <is>
          <t>24</t>
        </is>
      </c>
      <c r="E30" s="13" t="n">
        <v>0.22</v>
      </c>
      <c r="F30" s="12" t="inlineStr">
        <is>
          <t>benchmark</t>
        </is>
      </c>
      <c r="G30" s="13" t="n">
        <v>1</v>
      </c>
      <c r="H30" s="14">
        <f>G30-E30</f>
        <v/>
      </c>
      <c r="I30" s="9">
        <f>(G30-E30)/G30</f>
        <v/>
      </c>
      <c r="J30" s="14">
        <f>G30*0.029</f>
        <v/>
      </c>
      <c r="K30" s="14">
        <f>H30-J30</f>
        <v/>
      </c>
      <c r="L30" s="9">
        <f>K30/G30</f>
        <v/>
      </c>
      <c r="M30" s="12" t="inlineStr">
        <is>
          <t>Universal</t>
        </is>
      </c>
      <c r="N30" s="12" t="inlineStr">
        <is>
          <t>Est. — benchmark range £0.18-0.30. Best margin category in vending. Scottish water, strong UK brand.</t>
        </is>
      </c>
    </row>
    <row r="31">
      <c r="A31" s="12" t="inlineStr">
        <is>
          <t>Water</t>
        </is>
      </c>
      <c r="B31" s="12" t="inlineStr">
        <is>
          <t>Highland Spring Sparkling 500ml</t>
        </is>
      </c>
      <c r="C31" s="12" t="inlineStr">
        <is>
          <t>Highland Spring</t>
        </is>
      </c>
      <c r="D31" s="12" t="inlineStr">
        <is>
          <t>24</t>
        </is>
      </c>
      <c r="E31" s="13" t="n">
        <v>0.22</v>
      </c>
      <c r="F31" s="12" t="inlineStr">
        <is>
          <t>benchmark</t>
        </is>
      </c>
      <c r="G31" s="13" t="n">
        <v>1</v>
      </c>
      <c r="H31" s="14">
        <f>G31-E31</f>
        <v/>
      </c>
      <c r="I31" s="9">
        <f>(G31-E31)/G31</f>
        <v/>
      </c>
      <c r="J31" s="14">
        <f>G31*0.029</f>
        <v/>
      </c>
      <c r="K31" s="14">
        <f>H31-J31</f>
        <v/>
      </c>
      <c r="L31" s="9">
        <f>K31/G31</f>
        <v/>
      </c>
      <c r="M31" s="12" t="inlineStr">
        <is>
          <t>Office</t>
        </is>
      </c>
      <c r="N31" s="12" t="inlineStr">
        <is>
          <t>Est. — benchmark range £0.18-0.30. Lower volume than still but good margin.</t>
        </is>
      </c>
    </row>
    <row r="32">
      <c r="A32" s="12" t="inlineStr">
        <is>
          <t>Water</t>
        </is>
      </c>
      <c r="B32" s="12" t="inlineStr">
        <is>
          <t>Evian 500ml</t>
        </is>
      </c>
      <c r="C32" s="12" t="inlineStr">
        <is>
          <t>Danone</t>
        </is>
      </c>
      <c r="D32" s="12" t="inlineStr">
        <is>
          <t>24</t>
        </is>
      </c>
      <c r="E32" s="13" t="n">
        <v>0.3</v>
      </c>
      <c r="F32" s="12" t="inlineStr">
        <is>
          <t>benchmark</t>
        </is>
      </c>
      <c r="G32" s="13" t="n">
        <v>1.2</v>
      </c>
      <c r="H32" s="14">
        <f>G32-E32</f>
        <v/>
      </c>
      <c r="I32" s="9">
        <f>(G32-E32)/G32</f>
        <v/>
      </c>
      <c r="J32" s="14">
        <f>G32*0.029</f>
        <v/>
      </c>
      <c r="K32" s="14">
        <f>H32-J32</f>
        <v/>
      </c>
      <c r="L32" s="9">
        <f>K32/G32</f>
        <v/>
      </c>
      <c r="M32" s="12" t="inlineStr">
        <is>
          <t>Office/Premium</t>
        </is>
      </c>
      <c r="N32" s="12" t="inlineStr">
        <is>
          <t>Est. — benchmark range £0.25-0.38. Premium water, higher wholesale but supports higher vend price.</t>
        </is>
      </c>
    </row>
    <row r="33">
      <c r="A33" s="12" t="inlineStr">
        <is>
          <t>Water</t>
        </is>
      </c>
      <c r="B33" s="12" t="inlineStr">
        <is>
          <t>Volvic 500ml</t>
        </is>
      </c>
      <c r="C33" s="12" t="inlineStr">
        <is>
          <t>Danone</t>
        </is>
      </c>
      <c r="D33" s="12" t="inlineStr">
        <is>
          <t>24</t>
        </is>
      </c>
      <c r="E33" s="13" t="n">
        <v>0.28</v>
      </c>
      <c r="F33" s="12" t="inlineStr">
        <is>
          <t>benchmark</t>
        </is>
      </c>
      <c r="G33" s="13" t="n">
        <v>1.1</v>
      </c>
      <c r="H33" s="14">
        <f>G33-E33</f>
        <v/>
      </c>
      <c r="I33" s="9">
        <f>(G33-E33)/G33</f>
        <v/>
      </c>
      <c r="J33" s="14">
        <f>G33*0.029</f>
        <v/>
      </c>
      <c r="K33" s="14">
        <f>H33-J33</f>
        <v/>
      </c>
      <c r="L33" s="9">
        <f>K33/G33</f>
        <v/>
      </c>
      <c r="M33" s="12" t="inlineStr">
        <is>
          <t>Universal</t>
        </is>
      </c>
      <c r="N33" s="12" t="inlineStr">
        <is>
          <t>Est. — benchmark range £0.22-0.35. Mid-range positioning between Highland Spring and Evian.</t>
        </is>
      </c>
    </row>
    <row r="34">
      <c r="A34" s="12" t="inlineStr">
        <is>
          <t>Protein/Health</t>
        </is>
      </c>
      <c r="B34" s="12" t="inlineStr">
        <is>
          <t>Grenade Carb Killa Cookie Dough 60g</t>
        </is>
      </c>
      <c r="C34" s="12" t="inlineStr">
        <is>
          <t>Grenade</t>
        </is>
      </c>
      <c r="D34" s="12" t="inlineStr">
        <is>
          <t>12</t>
        </is>
      </c>
      <c r="E34" s="13" t="n">
        <v>1.68</v>
      </c>
      <c r="F34" s="12" t="inlineStr">
        <is>
          <t>Brakes</t>
        </is>
      </c>
      <c r="G34" s="13" t="n">
        <v>2.8</v>
      </c>
      <c r="H34" s="14">
        <f>G34-E34</f>
        <v/>
      </c>
      <c r="I34" s="9">
        <f>(G34-E34)/G34</f>
        <v/>
      </c>
      <c r="J34" s="14">
        <f>G34*0.029</f>
        <v/>
      </c>
      <c r="K34" s="14">
        <f>H34-J34</f>
        <v/>
      </c>
      <c r="L34" s="9">
        <f>K34/G34</f>
        <v/>
      </c>
      <c r="M34" s="12" t="inlineStr">
        <is>
          <t>Gym/Office</t>
        </is>
      </c>
      <c r="N34" s="12" t="inlineStr">
        <is>
          <t>Confirmed — Brakes £20.13/case of 12 (£1.68/bar). PriceSpy best price £18.99/12 (£1.58). Top protein bar in UK.</t>
        </is>
      </c>
    </row>
    <row r="35">
      <c r="A35" s="12" t="inlineStr">
        <is>
          <t>Protein/Health</t>
        </is>
      </c>
      <c r="B35" s="12" t="inlineStr">
        <is>
          <t>Grenade Carb Killa Oreo 60g</t>
        </is>
      </c>
      <c r="C35" s="12" t="inlineStr">
        <is>
          <t>Grenade</t>
        </is>
      </c>
      <c r="D35" s="12" t="inlineStr">
        <is>
          <t>12</t>
        </is>
      </c>
      <c r="E35" s="13" t="n">
        <v>1.69</v>
      </c>
      <c r="F35" s="12" t="inlineStr">
        <is>
          <t>Brakes</t>
        </is>
      </c>
      <c r="G35" s="13" t="n">
        <v>2.8</v>
      </c>
      <c r="H35" s="14">
        <f>G35-E35</f>
        <v/>
      </c>
      <c r="I35" s="9">
        <f>(G35-E35)/G35</f>
        <v/>
      </c>
      <c r="J35" s="14">
        <f>G35*0.029</f>
        <v/>
      </c>
      <c r="K35" s="14">
        <f>H35-J35</f>
        <v/>
      </c>
      <c r="L35" s="9">
        <f>K35/G35</f>
        <v/>
      </c>
      <c r="M35" s="12" t="inlineStr">
        <is>
          <t>Gym/Office</t>
        </is>
      </c>
      <c r="N35" s="12" t="inlineStr">
        <is>
          <t>Confirmed — Brakes £20.28/case of 12 (£1.69/bar). Second most popular Grenade flavour.</t>
        </is>
      </c>
    </row>
    <row r="36">
      <c r="A36" s="12" t="inlineStr">
        <is>
          <t>Protein/Health</t>
        </is>
      </c>
      <c r="B36" s="12" t="inlineStr">
        <is>
          <t>Trek Protein Flapjack Cocoa Oat 50g</t>
        </is>
      </c>
      <c r="C36" s="12" t="inlineStr">
        <is>
          <t>Trek</t>
        </is>
      </c>
      <c r="D36" s="12" t="inlineStr">
        <is>
          <t>16</t>
        </is>
      </c>
      <c r="E36" s="13" t="n">
        <v>0.85</v>
      </c>
      <c r="F36" s="12" t="inlineStr">
        <is>
          <t>benchmark</t>
        </is>
      </c>
      <c r="G36" s="13" t="n">
        <v>1.8</v>
      </c>
      <c r="H36" s="14">
        <f>G36-E36</f>
        <v/>
      </c>
      <c r="I36" s="9">
        <f>(G36-E36)/G36</f>
        <v/>
      </c>
      <c r="J36" s="14">
        <f>G36*0.029</f>
        <v/>
      </c>
      <c r="K36" s="14">
        <f>H36-J36</f>
        <v/>
      </c>
      <c r="L36" s="9">
        <f>K36/G36</f>
        <v/>
      </c>
      <c r="M36" s="12" t="inlineStr">
        <is>
          <t>Office/Gym</t>
        </is>
      </c>
      <c r="N36" s="12" t="inlineStr">
        <is>
          <t>Est. — benchmark range £0.75-1.00. Vegan, lower wholesale than Grenade. Plant-based appeal.</t>
        </is>
      </c>
    </row>
    <row r="37">
      <c r="A37" s="12" t="inlineStr">
        <is>
          <t>Protein/Health</t>
        </is>
      </c>
      <c r="B37" s="12" t="inlineStr">
        <is>
          <t>Nakd Cocoa Delight 35g</t>
        </is>
      </c>
      <c r="C37" s="12" t="inlineStr">
        <is>
          <t>Nakd</t>
        </is>
      </c>
      <c r="D37" s="12" t="inlineStr">
        <is>
          <t>18</t>
        </is>
      </c>
      <c r="E37" s="13" t="n">
        <v>0.55</v>
      </c>
      <c r="F37" s="12" t="inlineStr">
        <is>
          <t>benchmark</t>
        </is>
      </c>
      <c r="G37" s="13" t="n">
        <v>1.4</v>
      </c>
      <c r="H37" s="14">
        <f>G37-E37</f>
        <v/>
      </c>
      <c r="I37" s="9">
        <f>(G37-E37)/G37</f>
        <v/>
      </c>
      <c r="J37" s="14">
        <f>G37*0.029</f>
        <v/>
      </c>
      <c r="K37" s="14">
        <f>H37-J37</f>
        <v/>
      </c>
      <c r="L37" s="9">
        <f>K37/G37</f>
        <v/>
      </c>
      <c r="M37" s="12" t="inlineStr">
        <is>
          <t>Office/Health</t>
        </is>
      </c>
      <c r="N37" s="12" t="inlineStr">
        <is>
          <t>Est. — benchmark range £0.45-0.65. Raw fruit/nut bar, lighter weight. Vegan, gluten-free.</t>
        </is>
      </c>
    </row>
    <row r="38">
      <c r="A38" s="12" t="inlineStr">
        <is>
          <t>Protein/Health</t>
        </is>
      </c>
      <c r="B38" s="12" t="inlineStr">
        <is>
          <t>Fulfil Chocolate &amp; Hazelnut 55g</t>
        </is>
      </c>
      <c r="C38" s="12" t="inlineStr">
        <is>
          <t>Fulfil</t>
        </is>
      </c>
      <c r="D38" s="12" t="inlineStr">
        <is>
          <t>15</t>
        </is>
      </c>
      <c r="E38" s="13" t="n">
        <v>1.3</v>
      </c>
      <c r="F38" s="12" t="inlineStr">
        <is>
          <t>benchmark</t>
        </is>
      </c>
      <c r="G38" s="13" t="n">
        <v>2.5</v>
      </c>
      <c r="H38" s="14">
        <f>G38-E38</f>
        <v/>
      </c>
      <c r="I38" s="9">
        <f>(G38-E38)/G38</f>
        <v/>
      </c>
      <c r="J38" s="14">
        <f>G38*0.029</f>
        <v/>
      </c>
      <c r="K38" s="14">
        <f>H38-J38</f>
        <v/>
      </c>
      <c r="L38" s="9">
        <f>K38/G38</f>
        <v/>
      </c>
      <c r="M38" s="12" t="inlineStr">
        <is>
          <t>Gym/Office</t>
        </is>
      </c>
      <c r="N38" s="12" t="inlineStr">
        <is>
          <t>Est. — benchmark range £1.10-1.50. Vitamin-enriched protein bar. Growing brand.</t>
        </is>
      </c>
    </row>
    <row r="39">
      <c r="A39" s="12" t="inlineStr">
        <is>
          <t>Protein/Health</t>
        </is>
      </c>
      <c r="B39" s="12" t="inlineStr">
        <is>
          <t>Optimum Nutrition Protein Shake Chocolate 330ml</t>
        </is>
      </c>
      <c r="C39" s="12" t="inlineStr">
        <is>
          <t>ON</t>
        </is>
      </c>
      <c r="D39" s="12" t="inlineStr">
        <is>
          <t>10</t>
        </is>
      </c>
      <c r="E39" s="13" t="n">
        <v>1.8</v>
      </c>
      <c r="F39" s="12" t="inlineStr">
        <is>
          <t>benchmark</t>
        </is>
      </c>
      <c r="G39" s="13" t="n">
        <v>3.5</v>
      </c>
      <c r="H39" s="14">
        <f>G39-E39</f>
        <v/>
      </c>
      <c r="I39" s="9">
        <f>(G39-E39)/G39</f>
        <v/>
      </c>
      <c r="J39" s="14">
        <f>G39*0.029</f>
        <v/>
      </c>
      <c r="K39" s="14">
        <f>H39-J39</f>
        <v/>
      </c>
      <c r="L39" s="9">
        <f>K39/G39</f>
        <v/>
      </c>
      <c r="M39" s="12" t="inlineStr">
        <is>
          <t>Gym</t>
        </is>
      </c>
      <c r="N39" s="12" t="inlineStr">
        <is>
          <t>Est. — benchmark range £1.60-2.00. RTD shake, heavy/bulky. Needs bottom row in machine. Gym-primary.</t>
        </is>
      </c>
    </row>
    <row r="40">
      <c r="A40" s="12" t="inlineStr">
        <is>
          <t>Protein/Health</t>
        </is>
      </c>
      <c r="B40" s="12" t="inlineStr">
        <is>
          <t>Grenade Protein Shake Chocolate Insanity 330ml</t>
        </is>
      </c>
      <c r="C40" s="12" t="inlineStr">
        <is>
          <t>Grenade</t>
        </is>
      </c>
      <c r="D40" s="12" t="inlineStr">
        <is>
          <t>8</t>
        </is>
      </c>
      <c r="E40" s="13" t="n">
        <v>1.6</v>
      </c>
      <c r="F40" s="12" t="inlineStr">
        <is>
          <t>benchmark</t>
        </is>
      </c>
      <c r="G40" s="13" t="n">
        <v>3</v>
      </c>
      <c r="H40" s="14">
        <f>G40-E40</f>
        <v/>
      </c>
      <c r="I40" s="9">
        <f>(G40-E40)/G40</f>
        <v/>
      </c>
      <c r="J40" s="14">
        <f>G40*0.029</f>
        <v/>
      </c>
      <c r="K40" s="14">
        <f>H40-J40</f>
        <v/>
      </c>
      <c r="L40" s="9">
        <f>K40/G40</f>
        <v/>
      </c>
      <c r="M40" s="12" t="inlineStr">
        <is>
          <t>Gym</t>
        </is>
      </c>
      <c r="N40" s="12" t="inlineStr">
        <is>
          <t>Est. — benchmark range £1.40-1.80. RTD shake, smaller case size. Gym-primary location.</t>
        </is>
      </c>
    </row>
    <row r="41">
      <c r="A41" s="12" t="inlineStr">
        <is>
          <t>Protein/Health</t>
        </is>
      </c>
      <c r="B41" s="12" t="inlineStr">
        <is>
          <t>Barebells Protein Bar Salty Peanut 55g</t>
        </is>
      </c>
      <c r="C41" s="12" t="inlineStr">
        <is>
          <t>Barebells</t>
        </is>
      </c>
      <c r="D41" s="12" t="inlineStr">
        <is>
          <t>12</t>
        </is>
      </c>
      <c r="E41" s="13" t="n">
        <v>1.35</v>
      </c>
      <c r="F41" s="12" t="inlineStr">
        <is>
          <t>benchmark</t>
        </is>
      </c>
      <c r="G41" s="13" t="n">
        <v>2.8</v>
      </c>
      <c r="H41" s="14">
        <f>G41-E41</f>
        <v/>
      </c>
      <c r="I41" s="9">
        <f>(G41-E41)/G41</f>
        <v/>
      </c>
      <c r="J41" s="14">
        <f>G41*0.029</f>
        <v/>
      </c>
      <c r="K41" s="14">
        <f>H41-J41</f>
        <v/>
      </c>
      <c r="L41" s="9">
        <f>K41/G41</f>
        <v/>
      </c>
      <c r="M41" s="12" t="inlineStr">
        <is>
          <t>Gym/Office</t>
        </is>
      </c>
      <c r="N41" s="12" t="inlineStr">
        <is>
          <t>Est. — benchmark range £1.20-1.50. Swedish brand, growing fast in UK. Premium positioning.</t>
        </is>
      </c>
    </row>
    <row r="42">
      <c r="A42" s="12" t="inlineStr">
        <is>
          <t>Hot Drinks</t>
        </is>
      </c>
      <c r="B42" s="12" t="inlineStr">
        <is>
          <t>Nescafe Gold Blend (per cup)</t>
        </is>
      </c>
      <c r="C42" s="12" t="inlineStr">
        <is>
          <t>Nescafe</t>
        </is>
      </c>
      <c r="D42" s="12" t="inlineStr">
        <is>
          <t>750g tin (~300 cups)</t>
        </is>
      </c>
      <c r="E42" s="13" t="n">
        <v>0.08</v>
      </c>
      <c r="F42" s="12" t="inlineStr">
        <is>
          <t>benchmark</t>
        </is>
      </c>
      <c r="G42" s="13" t="n">
        <v>0.8</v>
      </c>
      <c r="H42" s="14">
        <f>G42-E42</f>
        <v/>
      </c>
      <c r="I42" s="9">
        <f>(G42-E42)/G42</f>
        <v/>
      </c>
      <c r="J42" s="14">
        <f>G42*0.029</f>
        <v/>
      </c>
      <c r="K42" s="14">
        <f>H42-J42</f>
        <v/>
      </c>
      <c r="L42" s="9">
        <f>K42/G42</f>
        <v/>
      </c>
      <c r="M42" s="12" t="inlineStr">
        <is>
          <t>Office</t>
        </is>
      </c>
      <c r="N42" s="12" t="inlineStr">
        <is>
          <t>Est. — benchmark range £0.06-0.10 per cup. Ingredient cost includes cup, sugar, whitener. Assumes 2.5g per cup + consumables.</t>
        </is>
      </c>
    </row>
    <row r="43">
      <c r="A43" s="12" t="inlineStr">
        <is>
          <t>Hot Drinks</t>
        </is>
      </c>
      <c r="B43" s="12" t="inlineStr">
        <is>
          <t>PG Tips Tea (per cup)</t>
        </is>
      </c>
      <c r="C43" s="12" t="inlineStr">
        <is>
          <t>PG Tips</t>
        </is>
      </c>
      <c r="D43" s="12" t="inlineStr">
        <is>
          <t>1100 bags</t>
        </is>
      </c>
      <c r="E43" s="13" t="n">
        <v>0.05</v>
      </c>
      <c r="F43" s="12" t="inlineStr">
        <is>
          <t>benchmark</t>
        </is>
      </c>
      <c r="G43" s="13" t="n">
        <v>0.6</v>
      </c>
      <c r="H43" s="14">
        <f>G43-E43</f>
        <v/>
      </c>
      <c r="I43" s="9">
        <f>(G43-E43)/G43</f>
        <v/>
      </c>
      <c r="J43" s="14">
        <f>G43*0.029</f>
        <v/>
      </c>
      <c r="K43" s="14">
        <f>H43-J43</f>
        <v/>
      </c>
      <c r="L43" s="9">
        <f>K43/G43</f>
        <v/>
      </c>
      <c r="M43" s="12" t="inlineStr">
        <is>
          <t>Office</t>
        </is>
      </c>
      <c r="N43" s="12" t="inlineStr">
        <is>
          <t>Est. — benchmark range £0.04-0.07 per cup. Lowest cost hot drink. Tea bag + cup + milk powder.</t>
        </is>
      </c>
    </row>
    <row r="44">
      <c r="A44" s="12" t="inlineStr">
        <is>
          <t>Hot Drinks</t>
        </is>
      </c>
      <c r="B44" s="12" t="inlineStr">
        <is>
          <t>Cadbury Hot Chocolate (per cup)</t>
        </is>
      </c>
      <c r="C44" s="12" t="inlineStr">
        <is>
          <t>Cadbury</t>
        </is>
      </c>
      <c r="D44" s="12" t="inlineStr">
        <is>
          <t>2kg tin (~80 cups)</t>
        </is>
      </c>
      <c r="E44" s="13" t="n">
        <v>0.12</v>
      </c>
      <c r="F44" s="12" t="inlineStr">
        <is>
          <t>benchmark</t>
        </is>
      </c>
      <c r="G44" s="13" t="n">
        <v>1</v>
      </c>
      <c r="H44" s="14">
        <f>G44-E44</f>
        <v/>
      </c>
      <c r="I44" s="9">
        <f>(G44-E44)/G44</f>
        <v/>
      </c>
      <c r="J44" s="14">
        <f>G44*0.029</f>
        <v/>
      </c>
      <c r="K44" s="14">
        <f>H44-J44</f>
        <v/>
      </c>
      <c r="L44" s="9">
        <f>K44/G44</f>
        <v/>
      </c>
      <c r="M44" s="12" t="inlineStr">
        <is>
          <t>Office/Leisure</t>
        </is>
      </c>
      <c r="N44" s="12" t="inlineStr">
        <is>
          <t>Est. — benchmark range £0.10-0.15 per cup. Higher ingredient cost than coffee/tea. Strong brand pull.</t>
        </is>
      </c>
    </row>
    <row r="45">
      <c r="A45" s="12" t="inlineStr">
        <is>
          <t>Hot Drinks</t>
        </is>
      </c>
      <c r="B45" s="12" t="inlineStr">
        <is>
          <t>Kenco Rich Roast (per cup)</t>
        </is>
      </c>
      <c r="C45" s="12" t="inlineStr">
        <is>
          <t>Kenco</t>
        </is>
      </c>
      <c r="D45" s="12" t="inlineStr">
        <is>
          <t>300g tin (~120 cups)</t>
        </is>
      </c>
      <c r="E45" s="13" t="n">
        <v>0.1</v>
      </c>
      <c r="F45" s="12" t="inlineStr">
        <is>
          <t>benchmark</t>
        </is>
      </c>
      <c r="G45" s="13" t="n">
        <v>0.9</v>
      </c>
      <c r="H45" s="14">
        <f>G45-E45</f>
        <v/>
      </c>
      <c r="I45" s="9">
        <f>(G45-E45)/G45</f>
        <v/>
      </c>
      <c r="J45" s="14">
        <f>G45*0.029</f>
        <v/>
      </c>
      <c r="K45" s="14">
        <f>H45-J45</f>
        <v/>
      </c>
      <c r="L45" s="9">
        <f>K45/G45</f>
        <v/>
      </c>
      <c r="M45" s="12" t="inlineStr">
        <is>
          <t>Office</t>
        </is>
      </c>
      <c r="N45" s="12" t="inlineStr">
        <is>
          <t>Est. — benchmark range £0.08-0.12 per cup. Perceived step up from Nescafe in office settings.</t>
        </is>
      </c>
    </row>
    <row r="46">
      <c r="A46" s="12" t="inlineStr">
        <is>
          <t>Hot Drinks</t>
        </is>
      </c>
      <c r="B46" s="12" t="inlineStr">
        <is>
          <t>Options Hot Chocolate (per cup)</t>
        </is>
      </c>
      <c r="C46" s="12" t="inlineStr">
        <is>
          <t>Options</t>
        </is>
      </c>
      <c r="D46" s="12" t="inlineStr">
        <is>
          <t>825g tin (~33 cups)</t>
        </is>
      </c>
      <c r="E46" s="13" t="n">
        <v>0.14</v>
      </c>
      <c r="F46" s="12" t="inlineStr">
        <is>
          <t>benchmark</t>
        </is>
      </c>
      <c r="G46" s="13" t="n">
        <v>1.2</v>
      </c>
      <c r="H46" s="14">
        <f>G46-E46</f>
        <v/>
      </c>
      <c r="I46" s="9">
        <f>(G46-E46)/G46</f>
        <v/>
      </c>
      <c r="J46" s="14">
        <f>G46*0.029</f>
        <v/>
      </c>
      <c r="K46" s="14">
        <f>H46-J46</f>
        <v/>
      </c>
      <c r="L46" s="9">
        <f>K46/G46</f>
        <v/>
      </c>
      <c r="M46" s="12" t="inlineStr">
        <is>
          <t>Office</t>
        </is>
      </c>
      <c r="N46" s="12" t="inlineStr">
        <is>
          <t>Est. — benchmark range £0.10-0.18 per cup. Low-calorie hot choc, appeals to health-conscious. Higher per-cup cost due to smaller tins.</t>
        </is>
      </c>
    </row>
    <row r="47">
      <c r="H47" s="14">
        <f>IF(G47="","",G47-E47)</f>
        <v/>
      </c>
      <c r="I47" s="9">
        <f>IF(G47="","",((G47-E47)/G47))</f>
        <v/>
      </c>
      <c r="J47" s="14">
        <f>IF(G47="","",G47*0.029)</f>
        <v/>
      </c>
      <c r="K47" s="14">
        <f>IF(H47="","",H47-J47)</f>
        <v/>
      </c>
      <c r="L47" s="9">
        <f>IF(K47="","",K47/G47)</f>
        <v/>
      </c>
    </row>
    <row r="48">
      <c r="H48" s="14">
        <f>IF(G48="","",G48-E48)</f>
        <v/>
      </c>
      <c r="I48" s="9">
        <f>IF(G48="","",((G48-E48)/G48))</f>
        <v/>
      </c>
      <c r="J48" s="14">
        <f>IF(G48="","",G48*0.029)</f>
        <v/>
      </c>
      <c r="K48" s="14">
        <f>IF(H48="","",H48-J48)</f>
        <v/>
      </c>
      <c r="L48" s="9">
        <f>IF(K48="","",K48/G48)</f>
        <v/>
      </c>
    </row>
    <row r="49">
      <c r="H49" s="14">
        <f>IF(G49="","",G49-E49)</f>
        <v/>
      </c>
      <c r="I49" s="9">
        <f>IF(G49="","",((G49-E49)/G49))</f>
        <v/>
      </c>
      <c r="J49" s="14">
        <f>IF(G49="","",G49*0.029)</f>
        <v/>
      </c>
      <c r="K49" s="14">
        <f>IF(H49="","",H49-J49)</f>
        <v/>
      </c>
      <c r="L49" s="9">
        <f>IF(K49="","",K49/G49)</f>
        <v/>
      </c>
    </row>
    <row r="50">
      <c r="H50" s="14">
        <f>IF(G50="","",G50-E50)</f>
        <v/>
      </c>
      <c r="I50" s="9">
        <f>IF(G50="","",((G50-E50)/G50))</f>
        <v/>
      </c>
      <c r="J50" s="14">
        <f>IF(G50="","",G50*0.029)</f>
        <v/>
      </c>
      <c r="K50" s="14">
        <f>IF(H50="","",H50-J50)</f>
        <v/>
      </c>
      <c r="L50" s="9">
        <f>IF(K50="","",K50/G50)</f>
        <v/>
      </c>
    </row>
    <row r="51">
      <c r="H51" s="14">
        <f>IF(G51="","",G51-E51)</f>
        <v/>
      </c>
      <c r="I51" s="9">
        <f>IF(G51="","",((G51-E51)/G51))</f>
        <v/>
      </c>
      <c r="J51" s="14">
        <f>IF(G51="","",G51*0.029)</f>
        <v/>
      </c>
      <c r="K51" s="14">
        <f>IF(H51="","",H51-J51)</f>
        <v/>
      </c>
      <c r="L51" s="9">
        <f>IF(K51="","",K51/G51)</f>
        <v/>
      </c>
    </row>
    <row r="52">
      <c r="H52" s="14">
        <f>IF(G52="","",G52-E52)</f>
        <v/>
      </c>
      <c r="I52" s="9">
        <f>IF(G52="","",((G52-E52)/G52))</f>
        <v/>
      </c>
      <c r="J52" s="14">
        <f>IF(G52="","",G52*0.029)</f>
        <v/>
      </c>
      <c r="K52" s="14">
        <f>IF(H52="","",H52-J52)</f>
        <v/>
      </c>
      <c r="L52" s="9">
        <f>IF(K52="","",K52/G52)</f>
        <v/>
      </c>
    </row>
    <row r="53">
      <c r="H53" s="14">
        <f>IF(G53="","",G53-E53)</f>
        <v/>
      </c>
      <c r="I53" s="9">
        <f>IF(G53="","",((G53-E53)/G53))</f>
        <v/>
      </c>
      <c r="J53" s="14">
        <f>IF(G53="","",G53*0.029)</f>
        <v/>
      </c>
      <c r="K53" s="14">
        <f>IF(H53="","",H53-J53)</f>
        <v/>
      </c>
      <c r="L53" s="9">
        <f>IF(K53="","",K53/G53)</f>
        <v/>
      </c>
    </row>
    <row r="54">
      <c r="H54" s="14">
        <f>IF(G54="","",G54-E54)</f>
        <v/>
      </c>
      <c r="I54" s="9">
        <f>IF(G54="","",((G54-E54)/G54))</f>
        <v/>
      </c>
      <c r="J54" s="14">
        <f>IF(G54="","",G54*0.029)</f>
        <v/>
      </c>
      <c r="K54" s="14">
        <f>IF(H54="","",H54-J54)</f>
        <v/>
      </c>
      <c r="L54" s="9">
        <f>IF(K54="","",K54/G54)</f>
        <v/>
      </c>
    </row>
    <row r="55">
      <c r="H55" s="14">
        <f>IF(G55="","",G55-E55)</f>
        <v/>
      </c>
      <c r="I55" s="9">
        <f>IF(G55="","",((G55-E55)/G55))</f>
        <v/>
      </c>
      <c r="J55" s="14">
        <f>IF(G55="","",G55*0.029)</f>
        <v/>
      </c>
      <c r="K55" s="14">
        <f>IF(H55="","",H55-J55)</f>
        <v/>
      </c>
      <c r="L55" s="9">
        <f>IF(K55="","",K55/G55)</f>
        <v/>
      </c>
    </row>
    <row r="56">
      <c r="H56" s="14">
        <f>IF(G56="","",G56-E56)</f>
        <v/>
      </c>
      <c r="I56" s="9">
        <f>IF(G56="","",((G56-E56)/G56))</f>
        <v/>
      </c>
      <c r="J56" s="14">
        <f>IF(G56="","",G56*0.029)</f>
        <v/>
      </c>
      <c r="K56" s="14">
        <f>IF(H56="","",H56-J56)</f>
        <v/>
      </c>
      <c r="L56" s="9">
        <f>IF(K56="","",K56/G56)</f>
        <v/>
      </c>
    </row>
    <row r="57">
      <c r="H57" s="14">
        <f>IF(G57="","",G57-E57)</f>
        <v/>
      </c>
      <c r="I57" s="9">
        <f>IF(G57="","",((G57-E57)/G57))</f>
        <v/>
      </c>
      <c r="J57" s="14">
        <f>IF(G57="","",G57*0.029)</f>
        <v/>
      </c>
      <c r="K57" s="14">
        <f>IF(H57="","",H57-J57)</f>
        <v/>
      </c>
      <c r="L57" s="9">
        <f>IF(K57="","",K57/G57)</f>
        <v/>
      </c>
    </row>
    <row r="58">
      <c r="H58" s="14">
        <f>IF(G58="","",G58-E58)</f>
        <v/>
      </c>
      <c r="I58" s="9">
        <f>IF(G58="","",((G58-E58)/G58))</f>
        <v/>
      </c>
      <c r="J58" s="14">
        <f>IF(G58="","",G58*0.029)</f>
        <v/>
      </c>
      <c r="K58" s="14">
        <f>IF(H58="","",H58-J58)</f>
        <v/>
      </c>
      <c r="L58" s="9">
        <f>IF(K58="","",K58/G58)</f>
        <v/>
      </c>
    </row>
    <row r="59">
      <c r="H59" s="14">
        <f>IF(G59="","",G59-E59)</f>
        <v/>
      </c>
      <c r="I59" s="9">
        <f>IF(G59="","",((G59-E59)/G59))</f>
        <v/>
      </c>
      <c r="J59" s="14">
        <f>IF(G59="","",G59*0.029)</f>
        <v/>
      </c>
      <c r="K59" s="14">
        <f>IF(H59="","",H59-J59)</f>
        <v/>
      </c>
      <c r="L59" s="9">
        <f>IF(K59="","",K59/G59)</f>
        <v/>
      </c>
    </row>
    <row r="60">
      <c r="H60" s="14">
        <f>IF(G60="","",G60-E60)</f>
        <v/>
      </c>
      <c r="I60" s="9">
        <f>IF(G60="","",((G60-E60)/G60))</f>
        <v/>
      </c>
      <c r="J60" s="14">
        <f>IF(G60="","",G60*0.029)</f>
        <v/>
      </c>
      <c r="K60" s="14">
        <f>IF(H60="","",H60-J60)</f>
        <v/>
      </c>
      <c r="L60" s="9">
        <f>IF(K60="","",K60/G60)</f>
        <v/>
      </c>
    </row>
    <row r="61">
      <c r="H61" s="14">
        <f>IF(G61="","",G61-E61)</f>
        <v/>
      </c>
      <c r="I61" s="9">
        <f>IF(G61="","",((G61-E61)/G61))</f>
        <v/>
      </c>
      <c r="J61" s="14">
        <f>IF(G61="","",G61*0.029)</f>
        <v/>
      </c>
      <c r="K61" s="14">
        <f>IF(H61="","",H61-J61)</f>
        <v/>
      </c>
      <c r="L61" s="9">
        <f>IF(K61="","",K61/G61)</f>
        <v/>
      </c>
    </row>
  </sheetData>
  <autoFilter ref="A1:N60"/>
  <dataValidations count="3">
    <dataValidation sqref="A2:A200" showDropDown="0" showInputMessage="0" showErrorMessage="0" allowBlank="1" errorTitle="Invalid Entry" error="Please select from the dropdown list" type="list">
      <formula1>"Confectionery,Crisps,Cold Drinks,Water,Protein/Health,Hot Drinks,Other"</formula1>
    </dataValidation>
    <dataValidation sqref="F2:F200" showDropDown="0" showInputMessage="0" showErrorMessage="0" allowBlank="1" errorTitle="Invalid Entry" error="Please select from the dropdown list" type="list">
      <formula1>"Booker,Bestway,Costco Business,JJ Food Service,Vending Superstore,Direct from Brand,Other"</formula1>
    </dataValidation>
    <dataValidation sqref="M2:M200" showDropDown="0" showInputMessage="0" showErrorMessage="0" allowBlank="1" errorTitle="Invalid Entry" error="Please select from the dropdown list" type="list">
      <formula1>"Office,Gym,Leisure,Education,Universal"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4" customWidth="1" min="4" max="4"/>
    <col width="18" customWidth="1" min="5" max="5"/>
    <col width="12" customWidth="1" min="6" max="6"/>
    <col width="16" customWidth="1" min="7" max="7"/>
    <col width="18" customWidth="1" min="8" max="8"/>
    <col width="18" customWidth="1" min="9" max="9"/>
    <col width="18" customWidth="1" min="10" max="10"/>
    <col width="14" customWidth="1" min="11" max="11"/>
    <col width="16" customWidth="1" min="12" max="12"/>
    <col width="12" customWidth="1" min="13" max="13"/>
    <col width="22" customWidth="1" min="14" max="14"/>
    <col width="12" customWidth="1" min="15" max="15"/>
    <col width="12" customWidth="1" min="16" max="16"/>
    <col width="18" customWidth="1" min="17" max="17"/>
    <col width="24" customWidth="1" min="18" max="18"/>
    <col width="18" customWidth="1" min="19" max="19"/>
    <col width="30" customWidth="1" min="20" max="20"/>
  </cols>
  <sheetData>
    <row r="1">
      <c r="A1" s="11" t="inlineStr">
        <is>
          <t>Machine Name</t>
        </is>
      </c>
      <c r="B1" s="11" t="inlineStr">
        <is>
          <t>Manufacturer</t>
        </is>
      </c>
      <c r="C1" s="11" t="inlineStr">
        <is>
          <t>Type</t>
        </is>
      </c>
      <c r="D1" s="11" t="inlineStr">
        <is>
          <t>Condition</t>
        </is>
      </c>
      <c r="E1" s="11" t="inlineStr">
        <is>
          <t>Purchase Price (£)</t>
        </is>
      </c>
      <c r="F1" s="11" t="inlineStr">
        <is>
          <t>VAT (£)</t>
        </is>
      </c>
      <c r="G1" s="11" t="inlineStr">
        <is>
          <t>Total Price (£)</t>
        </is>
      </c>
      <c r="H1" s="11" t="inlineStr">
        <is>
          <t>Lease Price (£/month)</t>
        </is>
      </c>
      <c r="I1" s="11" t="inlineStr">
        <is>
          <t>Capacity (selections)</t>
        </is>
      </c>
      <c r="J1" s="11" t="inlineStr">
        <is>
          <t>Payment Systems</t>
        </is>
      </c>
      <c r="K1" s="11" t="inlineStr">
        <is>
          <t>Cashless Ready</t>
        </is>
      </c>
      <c r="L1" s="11" t="inlineStr">
        <is>
          <t>Telemetry Built-in</t>
        </is>
      </c>
      <c r="M1" s="11" t="inlineStr">
        <is>
          <t>Energy Rating</t>
        </is>
      </c>
      <c r="N1" s="11" t="inlineStr">
        <is>
          <t>Dimensions (W×D×H cm)</t>
        </is>
      </c>
      <c r="O1" s="11" t="inlineStr">
        <is>
          <t>Weight (kg)</t>
        </is>
      </c>
      <c r="P1" s="11" t="inlineStr">
        <is>
          <t>Refrigerated</t>
        </is>
      </c>
      <c r="Q1" s="11" t="inlineStr">
        <is>
          <t>Supplier</t>
        </is>
      </c>
      <c r="R1" s="11" t="inlineStr">
        <is>
          <t>Supplier Contact</t>
        </is>
      </c>
      <c r="S1" s="11" t="inlineStr">
        <is>
          <t>Warranty</t>
        </is>
      </c>
      <c r="T1" s="11" t="inlineStr">
        <is>
          <t>Notes</t>
        </is>
      </c>
    </row>
    <row r="2">
      <c r="A2" t="inlineStr">
        <is>
          <t>Gusto Swing (Gusto 8)</t>
        </is>
      </c>
      <c r="B2" t="inlineStr">
        <is>
          <t>Necta (Evoca)</t>
        </is>
      </c>
      <c r="C2" t="inlineStr">
        <is>
          <t>Combo</t>
        </is>
      </c>
      <c r="D2" t="inlineStr">
        <is>
          <t>New</t>
        </is>
      </c>
      <c r="E2" s="15" t="n">
        <v>4200</v>
      </c>
      <c r="F2" s="10">
        <f>E2*0.2</f>
        <v/>
      </c>
      <c r="G2" s="10">
        <f>E2+F2</f>
        <v/>
      </c>
      <c r="H2" s="16" t="n"/>
      <c r="I2" t="inlineStr">
        <is>
          <t>390 items, 48 selections (24 snack, 8 food, 16 bottles), 7 trays</t>
        </is>
      </c>
      <c r="J2" t="inlineStr">
        <is>
          <t>Coin, note, cashless ready</t>
        </is>
      </c>
      <c r="K2" t="inlineStr">
        <is>
          <t>Retrofit Needed</t>
        </is>
      </c>
      <c r="L2" t="inlineStr">
        <is>
          <t>Yes</t>
        </is>
      </c>
      <c r="M2" t="inlineStr"/>
      <c r="N2" t="inlineStr">
        <is>
          <t>H1830 x W900 x D830mm (approx.)</t>
        </is>
      </c>
      <c r="P2" t="inlineStr">
        <is>
          <t>Yes</t>
        </is>
      </c>
      <c r="Q2" t="inlineStr">
        <is>
          <t>Vendtrade</t>
        </is>
      </c>
      <c r="R2" t="inlineStr">
        <is>
          <t>vendtrade.co.uk</t>
        </is>
      </c>
      <c r="S2" t="inlineStr"/>
      <c r="T2" t="inlineStr">
        <is>
          <t>HIGH confidence — confirmed Vendtrade price £4,200 ex VAT. Gusto Swing is now branded Gusto 8. Dual/triple temperature zones (0-4°C food, 8-15°C snack). Specs from Necta/Evoca site.</t>
        </is>
      </c>
    </row>
    <row r="3">
      <c r="A3" t="inlineStr">
        <is>
          <t>Orchestra Combo</t>
        </is>
      </c>
      <c r="B3" t="inlineStr">
        <is>
          <t>Necta (Evoca)</t>
        </is>
      </c>
      <c r="C3" t="inlineStr">
        <is>
          <t>Combo</t>
        </is>
      </c>
      <c r="D3" t="inlineStr">
        <is>
          <t>New</t>
        </is>
      </c>
      <c r="E3" s="15" t="n">
        <v>4400</v>
      </c>
      <c r="F3" s="10">
        <f>E3*0.2</f>
        <v/>
      </c>
      <c r="G3" s="10">
        <f>E3+F3</f>
        <v/>
      </c>
      <c r="H3" s="16" t="n"/>
      <c r="I3" t="inlineStr">
        <is>
          <t>Up to 464 items, 8 spirals max, 6 trays max</t>
        </is>
      </c>
      <c r="J3" t="inlineStr">
        <is>
          <t>Coin, note, cashless ready</t>
        </is>
      </c>
      <c r="K3" t="inlineStr">
        <is>
          <t>Retrofit Needed</t>
        </is>
      </c>
      <c r="L3" t="inlineStr">
        <is>
          <t>Yes</t>
        </is>
      </c>
      <c r="M3" t="inlineStr"/>
      <c r="N3" t="inlineStr">
        <is>
          <t>H1830 x W900 x D790mm</t>
        </is>
      </c>
      <c r="O3" t="n">
        <v>300</v>
      </c>
      <c r="P3" t="inlineStr">
        <is>
          <t>Yes</t>
        </is>
      </c>
      <c r="Q3" t="inlineStr">
        <is>
          <t>Vendtrade</t>
        </is>
      </c>
      <c r="R3" t="inlineStr">
        <is>
          <t>vendtrade.co.uk</t>
        </is>
      </c>
      <c r="S3" t="inlineStr"/>
      <c r="T3" t="inlineStr">
        <is>
          <t>HIGH confidence — confirmed Vendtrade price £4,400 ex VAT. Metallic frame supports up to 54kg of products. Max power 630W. Temp range 3-12°C. Specs from Necta/Evoca official site.</t>
        </is>
      </c>
    </row>
    <row r="4">
      <c r="A4" t="inlineStr">
        <is>
          <t>Crane Voce</t>
        </is>
      </c>
      <c r="B4" t="inlineStr">
        <is>
          <t>Crane</t>
        </is>
      </c>
      <c r="C4" t="inlineStr">
        <is>
          <t>Coffee</t>
        </is>
      </c>
      <c r="D4" t="inlineStr">
        <is>
          <t>Refurbished</t>
        </is>
      </c>
      <c r="E4" s="15" t="n">
        <v>1600</v>
      </c>
      <c r="F4" s="10">
        <f>E4*0.2</f>
        <v/>
      </c>
      <c r="G4" s="10">
        <f>E4+F4</f>
        <v/>
      </c>
      <c r="H4" s="16" t="n"/>
      <c r="I4" t="inlineStr">
        <is>
          <t>12-18 selections, 600 x 7-9oz cups or 400 x 12oz cups (max 800 cups)</t>
        </is>
      </c>
      <c r="J4" t="inlineStr">
        <is>
          <t>Coin, note acceptor</t>
        </is>
      </c>
      <c r="K4" t="inlineStr">
        <is>
          <t>Retrofit Needed</t>
        </is>
      </c>
      <c r="L4" t="inlineStr">
        <is>
          <t>No</t>
        </is>
      </c>
      <c r="M4" t="inlineStr"/>
      <c r="N4" t="inlineStr">
        <is>
          <t>H1830 x W700 x D790mm</t>
        </is>
      </c>
      <c r="O4" t="n">
        <v>193</v>
      </c>
      <c r="P4" t="inlineStr">
        <is>
          <t>No</t>
        </is>
      </c>
      <c r="Q4" t="inlineStr">
        <is>
          <t>Vendtrade</t>
        </is>
      </c>
      <c r="R4" t="inlineStr">
        <is>
          <t>vendtrade.co.uk</t>
        </is>
      </c>
      <c r="S4" t="inlineStr"/>
      <c r="T4" t="inlineStr">
        <is>
          <t>HIGH confidence — confirmed Vendtrade price £1,600 ex VAT. Hot drinks machine with 2 ground coffees, 3 solubles, sugar, cream, milk. Specs from Crane technical manual.</t>
        </is>
      </c>
    </row>
    <row r="5">
      <c r="A5" t="inlineStr">
        <is>
          <t>Bevmax 2 (incl. contactless)</t>
        </is>
      </c>
      <c r="B5" t="inlineStr">
        <is>
          <t>Crane</t>
        </is>
      </c>
      <c r="C5" t="inlineStr">
        <is>
          <t>Drink</t>
        </is>
      </c>
      <c r="D5" t="inlineStr">
        <is>
          <t>Refurbished</t>
        </is>
      </c>
      <c r="E5" s="15" t="n">
        <v>1600</v>
      </c>
      <c r="F5" s="10">
        <f>E5*0.2</f>
        <v/>
      </c>
      <c r="G5" s="10">
        <f>E5+F5</f>
        <v/>
      </c>
      <c r="H5" s="16" t="n"/>
      <c r="I5" t="inlineStr">
        <is>
          <t>45 selections, assorted bottle/can sizes</t>
        </is>
      </c>
      <c r="J5" t="inlineStr">
        <is>
          <t>Contactless included</t>
        </is>
      </c>
      <c r="K5" t="inlineStr">
        <is>
          <t>Yes</t>
        </is>
      </c>
      <c r="L5" t="inlineStr">
        <is>
          <t>No</t>
        </is>
      </c>
      <c r="M5" t="inlineStr"/>
      <c r="N5" t="inlineStr">
        <is>
          <t>H1830 x W850 x D860mm</t>
        </is>
      </c>
      <c r="O5" t="n">
        <v>250</v>
      </c>
      <c r="P5" t="inlineStr">
        <is>
          <t>Yes</t>
        </is>
      </c>
      <c r="Q5" t="inlineStr">
        <is>
          <t>Vendtrade</t>
        </is>
      </c>
      <c r="R5" t="inlineStr">
        <is>
          <t>vendtrade.co.uk</t>
        </is>
      </c>
      <c r="S5" t="inlineStr"/>
      <c r="T5" t="inlineStr">
        <is>
          <t>HIGH confidence — confirmed Vendtrade price £1,600 ex VAT. Includes contactless payment. 9-inch touchscreen with full-motion video. Specs from CPI/Crane official site.</t>
        </is>
      </c>
    </row>
    <row r="6">
      <c r="A6" t="inlineStr">
        <is>
          <t>Necta Sfera</t>
        </is>
      </c>
      <c r="B6" t="inlineStr">
        <is>
          <t>Necta (Evoca)</t>
        </is>
      </c>
      <c r="C6" t="inlineStr">
        <is>
          <t>Combo</t>
        </is>
      </c>
      <c r="D6" t="inlineStr">
        <is>
          <t>Refurbished</t>
        </is>
      </c>
      <c r="E6" s="15" t="n">
        <v>1750</v>
      </c>
      <c r="F6" s="10">
        <f>E6*0.2</f>
        <v/>
      </c>
      <c r="G6" s="10">
        <f>E6+F6</f>
        <v/>
      </c>
      <c r="H6" s="16" t="n"/>
      <c r="I6" t="inlineStr">
        <is>
          <t>Up to 48 selections, 300-500 products (3 snack trays, 2 bottle trays, 1 can tray)</t>
        </is>
      </c>
      <c r="J6" t="inlineStr">
        <is>
          <t>Coin, note acceptor</t>
        </is>
      </c>
      <c r="K6" t="inlineStr">
        <is>
          <t>Retrofit Needed</t>
        </is>
      </c>
      <c r="L6" t="inlineStr">
        <is>
          <t>No</t>
        </is>
      </c>
      <c r="M6" t="inlineStr"/>
      <c r="N6" t="inlineStr">
        <is>
          <t>H1845 x W905 x D890mm</t>
        </is>
      </c>
      <c r="P6" t="inlineStr">
        <is>
          <t>Yes</t>
        </is>
      </c>
      <c r="Q6" t="inlineStr">
        <is>
          <t>Vendtrade</t>
        </is>
      </c>
      <c r="R6" t="inlineStr">
        <is>
          <t>vendtrade.co.uk</t>
        </is>
      </c>
      <c r="S6" t="inlineStr"/>
      <c r="T6" t="inlineStr">
        <is>
          <t>HIGH confidence — confirmed Vendtrade price £1,750 ex VAT. Power 650W, 230V/50Hz. Double tempered glass. Remote monitoring via GSM. Specs from Necta manual.</t>
        </is>
      </c>
    </row>
    <row r="7">
      <c r="A7" t="inlineStr">
        <is>
          <t>Klix Outlook (hot drinks)</t>
        </is>
      </c>
      <c r="B7" t="inlineStr">
        <is>
          <t>Klix (Lavazza Professional)</t>
        </is>
      </c>
      <c r="C7" t="inlineStr">
        <is>
          <t>Coffee</t>
        </is>
      </c>
      <c r="D7" t="inlineStr">
        <is>
          <t>Refurbished</t>
        </is>
      </c>
      <c r="E7" s="15" t="n">
        <v>1100</v>
      </c>
      <c r="F7" s="10">
        <f>E7*0.2</f>
        <v/>
      </c>
      <c r="G7" s="10">
        <f>E7+F7</f>
        <v/>
      </c>
      <c r="H7" s="16" t="n"/>
      <c r="I7" t="inlineStr">
        <is>
          <t>1375 cups, 16 drink selections</t>
        </is>
      </c>
      <c r="J7" t="inlineStr">
        <is>
          <t>Coin</t>
        </is>
      </c>
      <c r="K7" t="inlineStr">
        <is>
          <t>Retrofit Needed</t>
        </is>
      </c>
      <c r="L7" t="inlineStr">
        <is>
          <t>No</t>
        </is>
      </c>
      <c r="M7" t="inlineStr"/>
      <c r="N7" t="inlineStr">
        <is>
          <t>H1830 x W630 x D700mm</t>
        </is>
      </c>
      <c r="O7" t="n">
        <v>115</v>
      </c>
      <c r="P7" t="inlineStr">
        <is>
          <t>No</t>
        </is>
      </c>
      <c r="Q7" t="inlineStr">
        <is>
          <t>Vendtrade</t>
        </is>
      </c>
      <c r="R7" t="inlineStr">
        <is>
          <t>vendtrade.co.uk</t>
        </is>
      </c>
      <c r="S7" t="inlineStr"/>
      <c r="T7" t="inlineStr">
        <is>
          <t>HIGH confidence — confirmed Vendtrade price £1,100 ex VAT. In-cup technology — one-touch operation. 115kg hot-only, 132kg hot/cold variant. Weight shown is hot-only.</t>
        </is>
      </c>
    </row>
    <row r="8">
      <c r="A8" t="inlineStr">
        <is>
          <t>Crane Shopper 2</t>
        </is>
      </c>
      <c r="B8" t="inlineStr">
        <is>
          <t>Crane</t>
        </is>
      </c>
      <c r="C8" t="inlineStr">
        <is>
          <t>Snack</t>
        </is>
      </c>
      <c r="D8" t="inlineStr">
        <is>
          <t>Refurbished</t>
        </is>
      </c>
      <c r="E8" s="15" t="n">
        <v>2500</v>
      </c>
      <c r="F8" s="10">
        <f>E8*0.2</f>
        <v/>
      </c>
      <c r="G8" s="10">
        <f>E8+F8</f>
        <v/>
      </c>
      <c r="H8" s="16" t="n"/>
      <c r="I8" t="inlineStr">
        <is>
          <t>Up to 225 products, 9 rotating shelves with individual compartments</t>
        </is>
      </c>
      <c r="J8" t="inlineStr">
        <is>
          <t>Coin, note acceptor</t>
        </is>
      </c>
      <c r="K8" t="inlineStr">
        <is>
          <t>Retrofit Needed</t>
        </is>
      </c>
      <c r="L8" t="inlineStr">
        <is>
          <t>No</t>
        </is>
      </c>
      <c r="M8" t="inlineStr"/>
      <c r="N8" t="inlineStr">
        <is>
          <t>H1830 x W968 x D782mm</t>
        </is>
      </c>
      <c r="O8" t="n">
        <v>323</v>
      </c>
      <c r="P8" t="inlineStr">
        <is>
          <t>Yes</t>
        </is>
      </c>
      <c r="Q8" t="inlineStr">
        <is>
          <t>Vendtrade</t>
        </is>
      </c>
      <c r="R8" t="inlineStr">
        <is>
          <t>vendtrade.co.uk</t>
        </is>
      </c>
      <c r="S8" t="inlineStr"/>
      <c r="T8" t="inlineStr">
        <is>
          <t>HIGH confidence — confirmed Vendtrade price £2,500 ex VAT. Fresh food rotating drum machine. 9 levels with 127mm vend doors. 220/240V AC. Specs from Lavazza Pro UK.</t>
        </is>
      </c>
    </row>
    <row r="9">
      <c r="A9" t="inlineStr">
        <is>
          <t>Crane BevMax</t>
        </is>
      </c>
      <c r="B9" t="inlineStr">
        <is>
          <t>Crane</t>
        </is>
      </c>
      <c r="C9" t="inlineStr">
        <is>
          <t>Drink</t>
        </is>
      </c>
      <c r="D9" t="inlineStr">
        <is>
          <t>Refurbished</t>
        </is>
      </c>
      <c r="E9" s="15" t="n">
        <v>1100</v>
      </c>
      <c r="F9" s="10">
        <f>E9*0.2</f>
        <v/>
      </c>
      <c r="G9" s="10">
        <f>E9+F9</f>
        <v/>
      </c>
      <c r="H9" s="16" t="n"/>
      <c r="I9" t="inlineStr">
        <is>
          <t>35-45 selections, 405 x 12oz cans or 360 x 16-20oz bottles</t>
        </is>
      </c>
      <c r="J9" t="inlineStr">
        <is>
          <t>Coin, note acceptor</t>
        </is>
      </c>
      <c r="K9" t="inlineStr">
        <is>
          <t>Retrofit Needed</t>
        </is>
      </c>
      <c r="L9" t="inlineStr">
        <is>
          <t>No</t>
        </is>
      </c>
      <c r="M9" t="inlineStr"/>
      <c r="N9" t="inlineStr">
        <is>
          <t>H1830 x W1194 x D813mm (47" wide model)</t>
        </is>
      </c>
      <c r="O9" t="n">
        <v>347</v>
      </c>
      <c r="P9" t="inlineStr">
        <is>
          <t>Yes</t>
        </is>
      </c>
      <c r="Q9" t="inlineStr">
        <is>
          <t>Vendtrade</t>
        </is>
      </c>
      <c r="R9" t="inlineStr">
        <is>
          <t>vendtrade.co.uk</t>
        </is>
      </c>
      <c r="S9" t="inlineStr"/>
      <c r="T9" t="inlineStr">
        <is>
          <t>HIGH confidence — confirmed Vendtrade price £1,100 ex VAT. Original BevMax Classic. 5 trays. Specs from CPI/Crane official site (converted from imperial).</t>
        </is>
      </c>
    </row>
    <row r="10">
      <c r="A10" t="inlineStr">
        <is>
          <t>Crane Evolution</t>
        </is>
      </c>
      <c r="B10" t="inlineStr">
        <is>
          <t>Crane</t>
        </is>
      </c>
      <c r="C10" t="inlineStr">
        <is>
          <t>Coffee</t>
        </is>
      </c>
      <c r="D10" t="inlineStr">
        <is>
          <t>Refurbished</t>
        </is>
      </c>
      <c r="E10" s="15" t="n">
        <v>1250</v>
      </c>
      <c r="F10" s="10">
        <f>E10*0.2</f>
        <v/>
      </c>
      <c r="G10" s="10">
        <f>E10+F10</f>
        <v/>
      </c>
      <c r="H10" s="16" t="n"/>
      <c r="I10" t="inlineStr">
        <is>
          <t>~600 x 7oz cups, hot/cold/hot water from 3 dispense positions</t>
        </is>
      </c>
      <c r="J10" t="inlineStr">
        <is>
          <t>Coin, note acceptor</t>
        </is>
      </c>
      <c r="K10" t="inlineStr">
        <is>
          <t>Retrofit Needed</t>
        </is>
      </c>
      <c r="L10" t="inlineStr">
        <is>
          <t>No</t>
        </is>
      </c>
      <c r="M10" t="inlineStr"/>
      <c r="N10" t="inlineStr">
        <is>
          <t>H1860 x W990 x D813mm</t>
        </is>
      </c>
      <c r="P10" t="inlineStr">
        <is>
          <t>No</t>
        </is>
      </c>
      <c r="Q10" t="inlineStr">
        <is>
          <t>Vendtrade</t>
        </is>
      </c>
      <c r="R10" t="inlineStr">
        <is>
          <t>vendtrade.co.uk</t>
        </is>
      </c>
      <c r="S10" t="inlineStr"/>
      <c r="T10" t="inlineStr">
        <is>
          <t>HIGH confidence — confirmed Vendtrade price £1,250 ex VAT. Paperless double brewer for fresh coffee/tea. Adjustable sugar and flavour levels. Specs from Vending2Go.</t>
        </is>
      </c>
    </row>
    <row r="11">
      <c r="A11" t="inlineStr">
        <is>
          <t>Crane Focus</t>
        </is>
      </c>
      <c r="B11" t="inlineStr">
        <is>
          <t>Crane</t>
        </is>
      </c>
      <c r="C11" t="inlineStr">
        <is>
          <t>Snack</t>
        </is>
      </c>
      <c r="D11" t="inlineStr">
        <is>
          <t>Refurbished</t>
        </is>
      </c>
      <c r="E11" s="15" t="n">
        <v>1400</v>
      </c>
      <c r="F11" s="10">
        <f>E11*0.2</f>
        <v/>
      </c>
      <c r="G11" s="10">
        <f>E11+F11</f>
        <v/>
      </c>
      <c r="H11" s="16" t="n"/>
      <c r="I11" t="inlineStr">
        <is>
          <t>32 or 40 selections (Focus 32 / Focus 40 models)</t>
        </is>
      </c>
      <c r="J11" t="inlineStr">
        <is>
          <t>Coin, note acceptor</t>
        </is>
      </c>
      <c r="K11" t="inlineStr">
        <is>
          <t>Retrofit Needed</t>
        </is>
      </c>
      <c r="L11" t="inlineStr">
        <is>
          <t>No</t>
        </is>
      </c>
      <c r="M11" t="inlineStr"/>
      <c r="N11" t="inlineStr">
        <is>
          <t>H1830 x W812-968 x D724mm (compact to standard)</t>
        </is>
      </c>
      <c r="O11" t="n">
        <v>237</v>
      </c>
      <c r="P11" t="inlineStr">
        <is>
          <t>Yes</t>
        </is>
      </c>
      <c r="Q11" t="inlineStr">
        <is>
          <t>Vendtrade</t>
        </is>
      </c>
      <c r="R11" t="inlineStr">
        <is>
          <t>vendtrade.co.uk</t>
        </is>
      </c>
      <c r="S11" t="inlineStr"/>
      <c r="T11" t="inlineStr">
        <is>
          <t>HIGH confidence — confirmed Vendtrade price £1,400 ex VAT. SureVend delivery sensor standard. Shelves tilt to 45° for easy loading. Weight 237kg (compact) / 304kg (standard). Specs from multiple UK vendor sites.</t>
        </is>
      </c>
    </row>
    <row r="12">
      <c r="A12" t="inlineStr">
        <is>
          <t>Azkoyen Palma+ H70</t>
        </is>
      </c>
      <c r="B12" t="inlineStr">
        <is>
          <t>Azkoyen</t>
        </is>
      </c>
      <c r="C12" t="inlineStr">
        <is>
          <t>Combo</t>
        </is>
      </c>
      <c r="D12" t="inlineStr">
        <is>
          <t>Refurbished</t>
        </is>
      </c>
      <c r="E12" s="15" t="n">
        <v>1500</v>
      </c>
      <c r="F12" s="10">
        <f>E12*0.2</f>
        <v/>
      </c>
      <c r="G12" s="10">
        <f>E12+F12</f>
        <v/>
      </c>
      <c r="H12" s="16" t="n"/>
      <c r="I12" t="inlineStr">
        <is>
          <t>24 selections, 5 trays</t>
        </is>
      </c>
      <c r="J12" t="inlineStr">
        <is>
          <t>Coin, note acceptor</t>
        </is>
      </c>
      <c r="K12" t="inlineStr">
        <is>
          <t>Retrofit Needed</t>
        </is>
      </c>
      <c r="L12" t="inlineStr">
        <is>
          <t>No</t>
        </is>
      </c>
      <c r="M12" t="inlineStr"/>
      <c r="N12" t="inlineStr">
        <is>
          <t>H1830 x W723 x D840mm</t>
        </is>
      </c>
      <c r="O12" t="n">
        <v>270</v>
      </c>
      <c r="P12" t="inlineStr">
        <is>
          <t>Yes</t>
        </is>
      </c>
      <c r="Q12" t="inlineStr">
        <is>
          <t>Vendtrade</t>
        </is>
      </c>
      <c r="R12" t="inlineStr">
        <is>
          <t>vendtrade.co.uk</t>
        </is>
      </c>
      <c r="S12" t="inlineStr"/>
      <c r="T12" t="inlineStr">
        <is>
          <t>HIGH confidence — confirmed Vendtrade price £1,500 ex VAT. Compact machine. Interior temp 3°C guaranteed at 32°C/65% humidity exterior. 500W, 230V/50Hz. Double toughened glass, LED lighting. Specs from Azkoyen Vending official site.</t>
        </is>
      </c>
    </row>
    <row r="13">
      <c r="A13" t="inlineStr">
        <is>
          <t>Crane Climate</t>
        </is>
      </c>
      <c r="B13" t="inlineStr">
        <is>
          <t>Crane</t>
        </is>
      </c>
      <c r="C13" t="inlineStr">
        <is>
          <t>Combo</t>
        </is>
      </c>
      <c r="D13" t="inlineStr">
        <is>
          <t>Refurbished</t>
        </is>
      </c>
      <c r="E13" s="15" t="n">
        <v>1750</v>
      </c>
      <c r="F13" s="10">
        <f>E13*0.2</f>
        <v/>
      </c>
      <c r="G13" s="10">
        <f>E13+F13</f>
        <v/>
      </c>
      <c r="H13" s="16" t="n"/>
      <c r="I13" t="inlineStr">
        <is>
          <t>297-312 items, 20-36 selections (snack + bottle + optional food trays)</t>
        </is>
      </c>
      <c r="J13" t="inlineStr">
        <is>
          <t>Coin, note acceptor</t>
        </is>
      </c>
      <c r="K13" t="inlineStr">
        <is>
          <t>Retrofit Needed</t>
        </is>
      </c>
      <c r="L13" t="inlineStr">
        <is>
          <t>No</t>
        </is>
      </c>
      <c r="M13" t="inlineStr"/>
      <c r="N13" t="inlineStr">
        <is>
          <t>H1830 x W968 x D1010mm</t>
        </is>
      </c>
      <c r="P13" t="inlineStr">
        <is>
          <t>Yes</t>
        </is>
      </c>
      <c r="Q13" t="inlineStr">
        <is>
          <t>Vendtrade</t>
        </is>
      </c>
      <c r="R13" t="inlineStr">
        <is>
          <t>vendtrade.co.uk</t>
        </is>
      </c>
      <c r="S13" t="inlineStr"/>
      <c r="T13" t="inlineStr">
        <is>
          <t>HIGH confidence — confirmed Vendtrade price £1,750 ex VAT. Dual temperature with adjustable divider separating perishable from non-perishable. Available in 20/16 and 15/5/16 configs. Specs from Vendtrade product page.</t>
        </is>
      </c>
    </row>
    <row r="14">
      <c r="A14" t="inlineStr">
        <is>
          <t>SandenVendo G-Snack (with Elevator + Fridge)</t>
        </is>
      </c>
      <c r="B14" t="inlineStr">
        <is>
          <t>SandenVendo</t>
        </is>
      </c>
      <c r="C14" t="inlineStr">
        <is>
          <t>Snack</t>
        </is>
      </c>
      <c r="D14" t="inlineStr">
        <is>
          <t>Refurbished</t>
        </is>
      </c>
      <c r="E14" s="15" t="n">
        <v>3602</v>
      </c>
      <c r="F14" s="10">
        <f>E14*0.2</f>
        <v/>
      </c>
      <c r="G14" s="10">
        <f>E14+F14</f>
        <v/>
      </c>
      <c r="H14" s="16" t="n"/>
      <c r="I14" t="inlineStr">
        <is>
          <t>Dual temperature zones for perishable and non-perishable</t>
        </is>
      </c>
      <c r="J14" t="inlineStr">
        <is>
          <t>Coin, note acceptor</t>
        </is>
      </c>
      <c r="K14" t="inlineStr">
        <is>
          <t>Retrofit Needed</t>
        </is>
      </c>
      <c r="L14" t="inlineStr">
        <is>
          <t>No</t>
        </is>
      </c>
      <c r="M14" t="inlineStr"/>
      <c r="N14" t="inlineStr">
        <is>
          <t>H1830 x W990 x D860mm</t>
        </is>
      </c>
      <c r="O14" t="n">
        <v>310</v>
      </c>
      <c r="P14" t="inlineStr">
        <is>
          <t>Yes</t>
        </is>
      </c>
      <c r="Q14" t="inlineStr">
        <is>
          <t>Intelligent Vending Ltd</t>
        </is>
      </c>
      <c r="R14" t="inlineStr">
        <is>
          <t>intelligentvending.co.uk</t>
        </is>
      </c>
      <c r="S14" t="inlineStr"/>
      <c r="T14" t="inlineStr">
        <is>
          <t>MEDIUM confidence — ex-showroom price £3,602 ex VAT from Intelligent Vending (never field-installed, used for demos/testing). Patented coupling system, innovative elevator, double tempered glass. Specs from product listing.</t>
        </is>
      </c>
    </row>
    <row r="15">
      <c r="A15" t="inlineStr">
        <is>
          <t>Nayax VPOS Touch</t>
        </is>
      </c>
      <c r="B15" t="inlineStr">
        <is>
          <t>Nayax</t>
        </is>
      </c>
      <c r="C15" t="inlineStr">
        <is>
          <t>Other</t>
        </is>
      </c>
      <c r="D15" t="inlineStr">
        <is>
          <t>New</t>
        </is>
      </c>
      <c r="E15" s="15" t="n">
        <v>450</v>
      </c>
      <c r="F15" s="10">
        <f>E15*0.2</f>
        <v/>
      </c>
      <c r="G15" s="10">
        <f>E15+F15</f>
        <v/>
      </c>
      <c r="H15" s="16" t="n"/>
      <c r="J15" t="inlineStr">
        <is>
          <t>Contactless, Chip &amp; PIN, Apple Pay, Google Pay</t>
        </is>
      </c>
      <c r="K15" t="inlineStr">
        <is>
          <t>Yes</t>
        </is>
      </c>
      <c r="L15" t="inlineStr">
        <is>
          <t>Yes</t>
        </is>
      </c>
      <c r="M15" t="inlineStr"/>
      <c r="N15" t="inlineStr"/>
      <c r="P15" t="inlineStr">
        <is>
          <t>No</t>
        </is>
      </c>
      <c r="Q15" t="inlineStr">
        <is>
          <t>Nayax / Breaktime Solutions</t>
        </is>
      </c>
      <c r="R15" t="inlineStr">
        <is>
          <t>shop.nayax.com/uk_en/</t>
        </is>
      </c>
      <c r="S15" t="inlineStr"/>
      <c r="T15" t="inlineStr">
        <is>
          <t>Cashless payment terminal. £10/month subscription + 2.95% per transaction. Confirmed price from Breaktime Solutions.</t>
        </is>
      </c>
    </row>
    <row r="16">
      <c r="F16" s="10">
        <f>IF(E16="","",E16*0.2)</f>
        <v/>
      </c>
      <c r="G16" s="10">
        <f>IF(E16="","",E16+F16)</f>
        <v/>
      </c>
    </row>
    <row r="17">
      <c r="F17" s="10">
        <f>IF(E17="","",E17*0.2)</f>
        <v/>
      </c>
      <c r="G17" s="10">
        <f>IF(E17="","",E17+F17)</f>
        <v/>
      </c>
    </row>
    <row r="18">
      <c r="F18" s="10">
        <f>IF(E18="","",E18*0.2)</f>
        <v/>
      </c>
      <c r="G18" s="10">
        <f>IF(E18="","",E18+F18)</f>
        <v/>
      </c>
    </row>
    <row r="19">
      <c r="F19" s="10">
        <f>IF(E19="","",E19*0.2)</f>
        <v/>
      </c>
      <c r="G19" s="10">
        <f>IF(E19="","",E19+F19)</f>
        <v/>
      </c>
    </row>
    <row r="20">
      <c r="F20" s="10">
        <f>IF(E20="","",E20*0.2)</f>
        <v/>
      </c>
      <c r="G20" s="10">
        <f>IF(E20="","",E20+F20)</f>
        <v/>
      </c>
    </row>
    <row r="21">
      <c r="F21" s="10">
        <f>IF(E21="","",E21*0.2)</f>
        <v/>
      </c>
      <c r="G21" s="10">
        <f>IF(E21="","",E21+F21)</f>
        <v/>
      </c>
    </row>
    <row r="22">
      <c r="F22" s="10">
        <f>IF(E22="","",E22*0.2)</f>
        <v/>
      </c>
      <c r="G22" s="10">
        <f>IF(E22="","",E22+F22)</f>
        <v/>
      </c>
    </row>
    <row r="23">
      <c r="F23" s="10">
        <f>IF(E23="","",E23*0.2)</f>
        <v/>
      </c>
      <c r="G23" s="10">
        <f>IF(E23="","",E23+F23)</f>
        <v/>
      </c>
    </row>
    <row r="24">
      <c r="F24" s="10">
        <f>IF(E24="","",E24*0.2)</f>
        <v/>
      </c>
      <c r="G24" s="10">
        <f>IF(E24="","",E24+F24)</f>
        <v/>
      </c>
    </row>
    <row r="25">
      <c r="F25" s="10">
        <f>IF(E25="","",E25*0.2)</f>
        <v/>
      </c>
      <c r="G25" s="10">
        <f>IF(E25="","",E25+F25)</f>
        <v/>
      </c>
    </row>
    <row r="26">
      <c r="F26" s="10">
        <f>IF(E26="","",E26*0.2)</f>
        <v/>
      </c>
      <c r="G26" s="10">
        <f>IF(E26="","",E26+F26)</f>
        <v/>
      </c>
    </row>
    <row r="27">
      <c r="F27" s="10">
        <f>IF(E27="","",E27*0.2)</f>
        <v/>
      </c>
      <c r="G27" s="10">
        <f>IF(E27="","",E27+F27)</f>
        <v/>
      </c>
    </row>
    <row r="28">
      <c r="F28" s="10">
        <f>IF(E28="","",E28*0.2)</f>
        <v/>
      </c>
      <c r="G28" s="10">
        <f>IF(E28="","",E28+F28)</f>
        <v/>
      </c>
    </row>
    <row r="29">
      <c r="F29" s="10">
        <f>IF(E29="","",E29*0.2)</f>
        <v/>
      </c>
      <c r="G29" s="10">
        <f>IF(E29="","",E29+F29)</f>
        <v/>
      </c>
    </row>
  </sheetData>
  <dataValidations count="5">
    <dataValidation sqref="C2:C50" showDropDown="0" showInputMessage="0" showErrorMessage="0" allowBlank="1" errorTitle="Invalid Entry" error="Please select from the dropdown list" type="list">
      <formula1>"Snack,Drink,Combo,Coffee,Fresh Food,Other"</formula1>
    </dataValidation>
    <dataValidation sqref="D2:D50" showDropDown="0" showInputMessage="0" showErrorMessage="0" allowBlank="1" errorTitle="Invalid Entry" error="Please select from the dropdown list" type="list">
      <formula1>"New,Refurbished,Used"</formula1>
    </dataValidation>
    <dataValidation sqref="K2:K50" showDropDown="0" showInputMessage="0" showErrorMessage="0" allowBlank="1" errorTitle="Invalid Entry" error="Please select from the dropdown list" type="list">
      <formula1>"Yes,No,Retrofit Needed"</formula1>
    </dataValidation>
    <dataValidation sqref="L2:L50" showDropDown="0" showInputMessage="0" showErrorMessage="0" allowBlank="1" errorTitle="Invalid Entry" error="Please select from the dropdown list" type="list">
      <formula1>"Yes,No"</formula1>
    </dataValidation>
    <dataValidation sqref="P2:P50" showDropDown="0" showInputMessage="0" showErrorMessage="0" allowBlank="1" errorTitle="Invalid Entry" error="Please select from the dropdown list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8" customWidth="1" min="4" max="4"/>
    <col width="18" customWidth="1" min="5" max="5"/>
    <col width="28" customWidth="1" min="6" max="6"/>
    <col width="18" customWidth="1" min="7" max="7"/>
    <col width="16" customWidth="1" min="8" max="8"/>
    <col width="14" customWidth="1" min="9" max="9"/>
    <col width="20" customWidth="1" min="10" max="10"/>
    <col width="18" customWidth="1" min="11" max="11"/>
    <col width="30" customWidth="1" min="12" max="12"/>
  </cols>
  <sheetData>
    <row r="1">
      <c r="A1" s="11" t="inlineStr">
        <is>
          <t>Supplier Name</t>
        </is>
      </c>
      <c r="B1" s="11" t="inlineStr">
        <is>
          <t>Category</t>
        </is>
      </c>
      <c r="C1" s="11" t="inlineStr">
        <is>
          <t>Products/Services</t>
        </is>
      </c>
      <c r="D1" s="11" t="inlineStr">
        <is>
          <t>Website</t>
        </is>
      </c>
      <c r="E1" s="11" t="inlineStr">
        <is>
          <t>Phone</t>
        </is>
      </c>
      <c r="F1" s="11" t="inlineStr">
        <is>
          <t>Email</t>
        </is>
      </c>
      <c r="G1" s="11" t="inlineStr">
        <is>
          <t>Location</t>
        </is>
      </c>
      <c r="H1" s="11" t="inlineStr">
        <is>
          <t>Account Required</t>
        </is>
      </c>
      <c r="I1" s="11" t="inlineStr">
        <is>
          <t>Minimum Order</t>
        </is>
      </c>
      <c r="J1" s="11" t="inlineStr">
        <is>
          <t>Delivery</t>
        </is>
      </c>
      <c r="K1" s="11" t="inlineStr">
        <is>
          <t>Payment Terms</t>
        </is>
      </c>
      <c r="L1" s="11" t="inlineStr">
        <is>
          <t>Notes</t>
        </is>
      </c>
    </row>
    <row r="2">
      <c r="A2" t="inlineStr">
        <is>
          <t>Booker</t>
        </is>
      </c>
      <c r="B2" t="inlineStr">
        <is>
          <t>Wholesaler</t>
        </is>
      </c>
      <c r="C2" t="inlineStr">
        <is>
          <t>Full range grocery, snacks, drinks, confectionery, tobacco</t>
        </is>
      </c>
      <c r="D2" t="inlineStr">
        <is>
          <t>booker.co.uk</t>
        </is>
      </c>
      <c r="E2" t="inlineStr"/>
      <c r="F2" t="inlineStr"/>
      <c r="G2" t="inlineStr">
        <is>
          <t>190+ branches nationwide</t>
        </is>
      </c>
      <c r="H2" t="inlineStr">
        <is>
          <t>Trade Account Only</t>
        </is>
      </c>
      <c r="I2" t="inlineStr">
        <is>
          <t>None</t>
        </is>
      </c>
      <c r="J2" t="inlineStr">
        <is>
          <t>Cash &amp; carry or delivery from branch</t>
        </is>
      </c>
      <c r="K2" t="inlineStr">
        <is>
          <t>Pay on collection or account terms</t>
        </is>
      </c>
      <c r="L2" t="inlineStr">
        <is>
          <t>Free trade account but requires in-person registration with 2 proofs of business. Tesco-owned. Largest UK wholesaler.</t>
        </is>
      </c>
    </row>
    <row r="3">
      <c r="A3" t="inlineStr">
        <is>
          <t>Bestway</t>
        </is>
      </c>
      <c r="B3" t="inlineStr">
        <is>
          <t>Wholesaler</t>
        </is>
      </c>
      <c r="C3" t="inlineStr">
        <is>
          <t>Full range grocery, snacks, drinks, confectionery, household</t>
        </is>
      </c>
      <c r="D3" t="inlineStr">
        <is>
          <t>bestway.co.uk</t>
        </is>
      </c>
      <c r="E3" t="inlineStr"/>
      <c r="F3" t="inlineStr"/>
      <c r="G3" t="inlineStr">
        <is>
          <t>70 depots nationwide</t>
        </is>
      </c>
      <c r="H3" t="inlineStr">
        <is>
          <t>Yes</t>
        </is>
      </c>
      <c r="I3" t="inlineStr">
        <is>
          <t>None</t>
        </is>
      </c>
      <c r="J3" t="inlineStr">
        <is>
          <t>Delivered + collect from depot</t>
        </is>
      </c>
      <c r="K3" t="inlineStr">
        <is>
          <t>Pay on collection or account terms</t>
        </is>
      </c>
      <c r="L3" t="inlineStr">
        <is>
          <t>Free online registration. Second largest UK wholesaler.</t>
        </is>
      </c>
    </row>
    <row r="4">
      <c r="A4" t="inlineStr">
        <is>
          <t>JJ Food Service</t>
        </is>
      </c>
      <c r="B4" t="inlineStr">
        <is>
          <t>Wholesaler</t>
        </is>
      </c>
      <c r="C4" t="inlineStr">
        <is>
          <t>Food service, snacks, drinks, catering supplies</t>
        </is>
      </c>
      <c r="D4" t="inlineStr">
        <is>
          <t>jjfoodservice.com</t>
        </is>
      </c>
      <c r="E4" t="inlineStr"/>
      <c r="F4" t="inlineStr"/>
      <c r="G4" t="inlineStr">
        <is>
          <t>Nationwide delivery</t>
        </is>
      </c>
      <c r="H4" t="inlineStr">
        <is>
          <t>No</t>
        </is>
      </c>
      <c r="I4" t="inlineStr">
        <is>
          <t>£129 for free delivery (£3 charge under)</t>
        </is>
      </c>
      <c r="J4" t="inlineStr">
        <is>
          <t>Next-day delivery</t>
        </is>
      </c>
      <c r="K4" t="inlineStr">
        <is>
          <t>Pay online at order</t>
        </is>
      </c>
      <c r="L4" t="inlineStr">
        <is>
          <t>Open to all, no membership required. Good for top-up orders and specialist lines.</t>
        </is>
      </c>
    </row>
    <row r="5">
      <c r="A5" t="inlineStr">
        <is>
          <t>Hancocks</t>
        </is>
      </c>
      <c r="B5" t="inlineStr">
        <is>
          <t>Wholesaler</t>
        </is>
      </c>
      <c r="C5" t="inlineStr">
        <is>
          <t>Confectionery specialist — sweets, chocolate, snack bars</t>
        </is>
      </c>
      <c r="D5" t="inlineStr">
        <is>
          <t>hancocks.co.uk</t>
        </is>
      </c>
      <c r="E5" t="inlineStr"/>
      <c r="F5" t="inlineStr"/>
      <c r="G5" t="inlineStr">
        <is>
          <t>14 stores for click-and-collect</t>
        </is>
      </c>
      <c r="H5" t="inlineStr">
        <is>
          <t>No</t>
        </is>
      </c>
      <c r="I5" t="inlineStr">
        <is>
          <t>£250 for free delivery</t>
        </is>
      </c>
      <c r="J5" t="inlineStr">
        <is>
          <t>Free delivery over £250, click-and-collect available</t>
        </is>
      </c>
      <c r="K5" t="inlineStr">
        <is>
          <t>Pay online at order</t>
        </is>
      </c>
      <c r="L5" t="inlineStr">
        <is>
          <t>Confectionery specialist. Useful for stocking chocolate/sweet vending lines at wholesale prices.</t>
        </is>
      </c>
    </row>
    <row r="6">
      <c r="A6" t="inlineStr">
        <is>
          <t>Costco Business</t>
        </is>
      </c>
      <c r="B6" t="inlineStr">
        <is>
          <t>Wholesaler</t>
        </is>
      </c>
      <c r="C6" t="inlineStr">
        <is>
          <t>Bulk grocery, snacks, drinks, sundries</t>
        </is>
      </c>
      <c r="D6" t="inlineStr">
        <is>
          <t>costco.co.uk</t>
        </is>
      </c>
      <c r="E6" t="inlineStr"/>
      <c r="F6" t="inlineStr"/>
      <c r="G6" t="inlineStr">
        <is>
          <t>29 UK warehouses</t>
        </is>
      </c>
      <c r="H6" t="inlineStr">
        <is>
          <t>Yes</t>
        </is>
      </c>
      <c r="I6" t="inlineStr">
        <is>
          <t>None</t>
        </is>
      </c>
      <c r="J6" t="inlineStr">
        <is>
          <t>Cash &amp; carry only (some online delivery)</t>
        </is>
      </c>
      <c r="K6" t="inlineStr">
        <is>
          <t>Membership ~£28/year ex VAT, pay at till</t>
        </is>
      </c>
      <c r="L6" t="inlineStr">
        <is>
          <t>Good for bulk buying popular brands at competitive prices. Limited SKU range but strong on volume lines.</t>
        </is>
      </c>
    </row>
    <row r="7">
      <c r="A7" t="inlineStr">
        <is>
          <t>Vending Superstore</t>
        </is>
      </c>
      <c r="B7" t="inlineStr">
        <is>
          <t>Vending Supplies</t>
        </is>
      </c>
      <c r="C7" t="inlineStr">
        <is>
          <t>1500+ vending-specific lines — cups, lids, ingredients, spare parts, snacks</t>
        </is>
      </c>
      <c r="D7" t="inlineStr">
        <is>
          <t>vendingsuperstore.co.uk</t>
        </is>
      </c>
      <c r="E7" t="inlineStr">
        <is>
          <t>01773 252052</t>
        </is>
      </c>
      <c r="F7" t="inlineStr"/>
      <c r="G7" t="inlineStr">
        <is>
          <t>Online with UK delivery</t>
        </is>
      </c>
      <c r="H7" t="inlineStr">
        <is>
          <t>No</t>
        </is>
      </c>
      <c r="I7" t="inlineStr">
        <is>
          <t>£79 for free shipping</t>
        </is>
      </c>
      <c r="J7" t="inlineStr">
        <is>
          <t>Free shipping over £79</t>
        </is>
      </c>
      <c r="K7" t="inlineStr">
        <is>
          <t>Pay online at order</t>
        </is>
      </c>
      <c r="L7" t="inlineStr">
        <is>
          <t>Specialist vending supplier. Essential for consumables, cups, ingredients that general wholesalers don't stock.</t>
        </is>
      </c>
    </row>
    <row r="8">
      <c r="A8" t="inlineStr">
        <is>
          <t>CEMA Refreshments</t>
        </is>
      </c>
      <c r="B8" t="inlineStr">
        <is>
          <t>Other</t>
        </is>
      </c>
      <c r="C8" t="inlineStr">
        <is>
          <t>Vending machine supply, installation, wholesale ingredients</t>
        </is>
      </c>
      <c r="D8" t="inlineStr">
        <is>
          <t>cemarefreshments.co.uk</t>
        </is>
      </c>
      <c r="E8" t="inlineStr"/>
      <c r="F8" t="inlineStr"/>
      <c r="G8" t="inlineStr">
        <is>
          <t>East Midlands</t>
        </is>
      </c>
      <c r="H8" t="inlineStr">
        <is>
          <t>No</t>
        </is>
      </c>
      <c r="I8" t="inlineStr">
        <is>
          <t>Contact for details</t>
        </is>
      </c>
      <c r="J8" t="inlineStr">
        <is>
          <t>Contact for details</t>
        </is>
      </c>
      <c r="K8" t="inlineStr">
        <is>
          <t>Contact for details</t>
        </is>
      </c>
      <c r="L8" t="inlineStr">
        <is>
          <t>Machine supplier/operator that also offers wholesale ingredients. Dual role as potential partner or supplier.</t>
        </is>
      </c>
    </row>
    <row r="9">
      <c r="A9" t="inlineStr">
        <is>
          <t>Vendtrade</t>
        </is>
      </c>
      <c r="B9" t="inlineStr">
        <is>
          <t>Machine Supplier</t>
        </is>
      </c>
      <c r="C9" t="inlineStr">
        <is>
          <t>Refurbished vending machines — snack, drink, combination, coffee</t>
        </is>
      </c>
      <c r="D9" t="inlineStr">
        <is>
          <t>vendtrade.co.uk</t>
        </is>
      </c>
      <c r="E9" t="inlineStr">
        <is>
          <t>0208 617 1212</t>
        </is>
      </c>
      <c r="F9" t="inlineStr">
        <is>
          <t>sales@vendtrade.co.uk</t>
        </is>
      </c>
      <c r="G9" t="inlineStr">
        <is>
          <t>London area</t>
        </is>
      </c>
      <c r="H9" t="inlineStr">
        <is>
          <t>No</t>
        </is>
      </c>
      <c r="I9" t="inlineStr">
        <is>
          <t>N/A</t>
        </is>
      </c>
      <c r="J9" t="inlineStr">
        <is>
          <t>UK delivery available</t>
        </is>
      </c>
      <c r="K9" t="inlineStr">
        <is>
          <t>Contact for quote</t>
        </is>
      </c>
      <c r="L9" t="inlineStr">
        <is>
          <t>UK's largest refurbished vending machine supplier. Good entry point for lower-cost machines.</t>
        </is>
      </c>
    </row>
    <row r="10">
      <c r="A10" t="inlineStr">
        <is>
          <t>V4 Vending</t>
        </is>
      </c>
      <c r="B10" t="inlineStr">
        <is>
          <t>Machine Supplier</t>
        </is>
      </c>
      <c r="C10" t="inlineStr">
        <is>
          <t>New and refurbished vending machines</t>
        </is>
      </c>
      <c r="D10" t="inlineStr">
        <is>
          <t>v4vending.co.uk</t>
        </is>
      </c>
      <c r="E10" t="inlineStr">
        <is>
          <t>0800 0260461</t>
        </is>
      </c>
      <c r="F10" t="inlineStr"/>
      <c r="G10" t="inlineStr">
        <is>
          <t>UK</t>
        </is>
      </c>
      <c r="H10" t="inlineStr">
        <is>
          <t>No</t>
        </is>
      </c>
      <c r="I10" t="inlineStr">
        <is>
          <t>N/A</t>
        </is>
      </c>
      <c r="J10" t="inlineStr">
        <is>
          <t>UK delivery available</t>
        </is>
      </c>
      <c r="K10" t="inlineStr">
        <is>
          <t>Contact for quote</t>
        </is>
      </c>
      <c r="L10" t="inlineStr"/>
    </row>
    <row r="11">
      <c r="A11" t="inlineStr">
        <is>
          <t>Monkey Vend</t>
        </is>
      </c>
      <c r="B11" t="inlineStr">
        <is>
          <t>Machine Supplier</t>
        </is>
      </c>
      <c r="C11" t="inlineStr">
        <is>
          <t>Vending machines — new and refurbished</t>
        </is>
      </c>
      <c r="D11" t="inlineStr">
        <is>
          <t>monkeyvend.co.uk</t>
        </is>
      </c>
      <c r="E11" t="inlineStr"/>
      <c r="F11" t="inlineStr"/>
      <c r="G11" t="inlineStr">
        <is>
          <t>UK</t>
        </is>
      </c>
      <c r="H11" t="inlineStr">
        <is>
          <t>No</t>
        </is>
      </c>
      <c r="I11" t="inlineStr">
        <is>
          <t>N/A</t>
        </is>
      </c>
      <c r="J11" t="inlineStr">
        <is>
          <t>UK delivery available</t>
        </is>
      </c>
      <c r="K11" t="inlineStr">
        <is>
          <t>Contact for quote</t>
        </is>
      </c>
      <c r="L11" t="inlineStr"/>
    </row>
    <row r="12">
      <c r="A12" t="inlineStr">
        <is>
          <t>Maix Vending</t>
        </is>
      </c>
      <c r="B12" t="inlineStr">
        <is>
          <t>Machine Supplier</t>
        </is>
      </c>
      <c r="C12" t="inlineStr">
        <is>
          <t>Vending machines — new and refurbished</t>
        </is>
      </c>
      <c r="D12" t="inlineStr">
        <is>
          <t>maixvending.co.uk</t>
        </is>
      </c>
      <c r="E12" t="inlineStr"/>
      <c r="F12" t="inlineStr"/>
      <c r="G12" t="inlineStr">
        <is>
          <t>UK</t>
        </is>
      </c>
      <c r="H12" t="inlineStr">
        <is>
          <t>No</t>
        </is>
      </c>
      <c r="I12" t="inlineStr">
        <is>
          <t>N/A</t>
        </is>
      </c>
      <c r="J12" t="inlineStr">
        <is>
          <t>UK delivery available</t>
        </is>
      </c>
      <c r="K12" t="inlineStr">
        <is>
          <t>Contact for quote</t>
        </is>
      </c>
      <c r="L12" t="inlineStr"/>
    </row>
    <row r="13">
      <c r="A13" t="inlineStr">
        <is>
          <t>Intelligent Vending</t>
        </is>
      </c>
      <c r="B13" t="inlineStr">
        <is>
          <t>Machine Supplier</t>
        </is>
      </c>
      <c r="C13" t="inlineStr">
        <is>
          <t>Custom/smart vending machines, parts, payment peripherals, Quros IoT software platform, consultancy</t>
        </is>
      </c>
      <c r="D13" t="inlineStr">
        <is>
          <t>intelligentvending.co.uk</t>
        </is>
      </c>
      <c r="E13" t="inlineStr">
        <is>
          <t>+44 (0) 1629 825555</t>
        </is>
      </c>
      <c r="F13" t="inlineStr"/>
      <c r="G13" t="inlineStr">
        <is>
          <t>Black Rocks Business Park, Derbyshire</t>
        </is>
      </c>
      <c r="H13" t="inlineStr">
        <is>
          <t>No</t>
        </is>
      </c>
      <c r="I13" t="inlineStr">
        <is>
          <t>N/A</t>
        </is>
      </c>
      <c r="J13" t="inlineStr">
        <is>
          <t>UK and international</t>
        </is>
      </c>
      <c r="K13" t="inlineStr">
        <is>
          <t>Quote-based</t>
        </is>
      </c>
      <c r="L13" t="inlineStr">
        <is>
          <t>UK B2B solutions provider for automated retail. Proprietary Quros IoT platform. Made in Britain member. Specialises in secure intelligent distribution, retail, and marketing solutions. Also sells spare parts and consumables online.</t>
        </is>
      </c>
    </row>
    <row r="14">
      <c r="A14" t="inlineStr">
        <is>
          <t>Nayax</t>
        </is>
      </c>
      <c r="B14" t="inlineStr">
        <is>
          <t>Payment Systems</t>
        </is>
      </c>
      <c r="C14" t="inlineStr">
        <is>
          <t>VPOS Touch cashless payment terminal, telemetry, management software</t>
        </is>
      </c>
      <c r="D14" t="inlineStr">
        <is>
          <t>nayax.com</t>
        </is>
      </c>
      <c r="E14" t="inlineStr"/>
      <c r="F14" t="inlineStr"/>
      <c r="G14" t="inlineStr">
        <is>
          <t>Global (Israel HQ, UK active)</t>
        </is>
      </c>
      <c r="H14" t="inlineStr">
        <is>
          <t>Yes</t>
        </is>
      </c>
      <c r="I14" t="inlineStr">
        <is>
          <t>N/A</t>
        </is>
      </c>
      <c r="J14" t="inlineStr">
        <is>
          <t>N/A</t>
        </is>
      </c>
      <c r="K14" t="inlineStr">
        <is>
          <t>VPOS Touch ~£450+VAT hardware, £10/month SaaS, 2.95% per transaction</t>
        </is>
      </c>
      <c r="L14" t="inlineStr">
        <is>
          <t>Market leader in cashless vending payments. VPOS Touch supports contactless, Apple Pay, Google Pay. Cloud management dashboard included.</t>
        </is>
      </c>
    </row>
    <row r="15">
      <c r="A15" t="inlineStr">
        <is>
          <t>Payter</t>
        </is>
      </c>
      <c r="B15" t="inlineStr">
        <is>
          <t>Payment Systems</t>
        </is>
      </c>
      <c r="C15" t="inlineStr">
        <is>
          <t>Cashless payment terminals for vending and unattended retail</t>
        </is>
      </c>
      <c r="D15" t="inlineStr">
        <is>
          <t>payter.com</t>
        </is>
      </c>
      <c r="E15" t="inlineStr"/>
      <c r="F15" t="inlineStr"/>
      <c r="G15" t="inlineStr">
        <is>
          <t>Netherlands (UK active)</t>
        </is>
      </c>
      <c r="H15" t="inlineStr">
        <is>
          <t>Yes</t>
        </is>
      </c>
      <c r="I15" t="inlineStr">
        <is>
          <t>N/A</t>
        </is>
      </c>
      <c r="J15" t="inlineStr">
        <is>
          <t>N/A</t>
        </is>
      </c>
      <c r="K15" t="inlineStr">
        <is>
          <t>Quote-based pricing</t>
        </is>
      </c>
      <c r="L15" t="inlineStr">
        <is>
          <t>Netherlands-based, active in UK market. Alternative to Nayax. Contact for bespoke pricing.</t>
        </is>
      </c>
    </row>
    <row r="16">
      <c r="A16" t="inlineStr">
        <is>
          <t>Cantaloupe</t>
        </is>
      </c>
      <c r="B16" t="inlineStr">
        <is>
          <t>Payment Systems</t>
        </is>
      </c>
      <c r="C16" t="inlineStr">
        <is>
          <t>Cashless payment terminals, telemetry, Seed management platform</t>
        </is>
      </c>
      <c r="D16" t="inlineStr">
        <is>
          <t>cantaloupe.com</t>
        </is>
      </c>
      <c r="E16" t="inlineStr"/>
      <c r="F16" t="inlineStr"/>
      <c r="G16" t="inlineStr">
        <is>
          <t>US HQ, UK active via distributors</t>
        </is>
      </c>
      <c r="H16" t="inlineStr">
        <is>
          <t>Yes</t>
        </is>
      </c>
      <c r="I16" t="inlineStr">
        <is>
          <t>N/A</t>
        </is>
      </c>
      <c r="J16" t="inlineStr">
        <is>
          <t>Via UK distributors</t>
        </is>
      </c>
      <c r="K16" t="inlineStr">
        <is>
          <t>Contact distributor for pricing</t>
        </is>
      </c>
      <c r="L16" t="inlineStr">
        <is>
          <t>US-based, available in UK through distributor network. Seed platform for route management and telemetry.</t>
        </is>
      </c>
    </row>
    <row r="17">
      <c r="A17" t="inlineStr">
        <is>
          <t>Simply Business</t>
        </is>
      </c>
      <c r="B17" t="inlineStr">
        <is>
          <t>Insurance</t>
        </is>
      </c>
      <c r="C17" t="inlineStr">
        <is>
          <t>Public liability, product liability, business equipment insurance for vending operators</t>
        </is>
      </c>
      <c r="D17" t="inlineStr">
        <is>
          <t>simplybusiness.co.uk</t>
        </is>
      </c>
      <c r="E17" t="inlineStr"/>
      <c r="F17" t="inlineStr"/>
      <c r="G17" t="inlineStr">
        <is>
          <t>UK-wide (online)</t>
        </is>
      </c>
      <c r="H17" t="inlineStr">
        <is>
          <t>No</t>
        </is>
      </c>
      <c r="I17" t="inlineStr">
        <is>
          <t>N/A</t>
        </is>
      </c>
      <c r="J17" t="inlineStr">
        <is>
          <t>N/A</t>
        </is>
      </c>
      <c r="K17" t="inlineStr">
        <is>
          <t>From ~£5.64/month for basic cover; vending operator comprehensive ~£300-600/year</t>
        </is>
      </c>
      <c r="L17" t="inlineStr">
        <is>
          <t>Online insurance marketplace. Quick quotes in ~7 minutes. 9/10 Feefo rating. Covers 1500+ trade types. Get quotes for £5M public liability + product liability + equipment cover.</t>
        </is>
      </c>
    </row>
    <row r="18">
      <c r="A18" t="inlineStr">
        <is>
          <t>Towergate Insurance</t>
        </is>
      </c>
      <c r="B18" t="inlineStr">
        <is>
          <t>Insurance</t>
        </is>
      </c>
      <c r="C18" t="inlineStr">
        <is>
          <t>Commercial insurance — public liability, product liability, equipment, business premises</t>
        </is>
      </c>
      <c r="D18" t="inlineStr">
        <is>
          <t>towergateinsurance.co.uk</t>
        </is>
      </c>
      <c r="E18" t="inlineStr"/>
      <c r="F18" t="inlineStr"/>
      <c r="G18" t="inlineStr">
        <is>
          <t>UK-wide</t>
        </is>
      </c>
      <c r="H18" t="inlineStr">
        <is>
          <t>No</t>
        </is>
      </c>
      <c r="I18" t="inlineStr">
        <is>
          <t>N/A</t>
        </is>
      </c>
      <c r="J18" t="inlineStr">
        <is>
          <t>N/A</t>
        </is>
      </c>
      <c r="K18" t="inlineStr">
        <is>
          <t>Typically £400-800/year for small vending operations (quote-dependent)</t>
        </is>
      </c>
      <c r="L18" t="inlineStr">
        <is>
          <t>Established commercial insurance broker. Has handled vending machine operator claims including multi-million pound settlements. Specialist knowledge of vending sector risks. Recommended for higher-value or multi-site operations.</t>
        </is>
      </c>
    </row>
    <row r="19">
      <c r="A19" t="inlineStr">
        <is>
          <t>AVA (The Vending &amp; Automated Retail Association)</t>
        </is>
      </c>
      <c r="B19" t="inlineStr">
        <is>
          <t>Trade Association</t>
        </is>
      </c>
      <c r="C19" t="inlineStr">
        <is>
          <t>Industry body — networking, standards, lobbying, training, events</t>
        </is>
      </c>
      <c r="D19" t="inlineStr">
        <is>
          <t>the-ava.com</t>
        </is>
      </c>
      <c r="E19" t="inlineStr"/>
      <c r="F19" t="inlineStr">
        <is>
          <t>info@the-ava.com</t>
        </is>
      </c>
      <c r="G19" t="inlineStr">
        <is>
          <t>UK</t>
        </is>
      </c>
      <c r="H19" t="inlineStr">
        <is>
          <t>Yes</t>
        </is>
      </c>
      <c r="I19" t="inlineStr">
        <is>
          <t>N/A</t>
        </is>
      </c>
      <c r="J19" t="inlineStr">
        <is>
          <t>N/A</t>
        </is>
      </c>
      <c r="K19" t="inlineStr">
        <is>
          <t>Membership cost on application</t>
        </is>
      </c>
      <c r="L19" t="inlineStr">
        <is>
          <t>UK trade association for vending and automated retail. Membership provides credibility, networking, and industry intelligence. Worth joining once established.</t>
        </is>
      </c>
    </row>
  </sheetData>
  <dataValidations count="2">
    <dataValidation sqref="B2:B100" showDropDown="0" showInputMessage="0" showErrorMessage="0" allowBlank="1" errorTitle="Invalid Entry" error="Please select from the dropdown list" type="list">
      <formula1>"Wholesaler,Machine Supplier,Payment Systems,Insurance,Maintenance/Parts,Trade Association,Legal/Compliance,Other"</formula1>
    </dataValidation>
    <dataValidation sqref="H2:H100" showDropDown="0" showInputMessage="0" showErrorMessage="0" allowBlank="1" errorTitle="Invalid Entry" error="Please select from the dropdown list" type="list">
      <formula1>"Yes,No,Trade Account Only"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16" customWidth="1" min="5" max="5"/>
    <col width="18" customWidth="1" min="6" max="6"/>
    <col width="22" customWidth="1" min="7" max="7"/>
    <col width="22" customWidth="1" min="8" max="8"/>
    <col width="24" customWidth="1" min="9" max="9"/>
    <col width="22" customWidth="1" min="10" max="10"/>
    <col width="24" customWidth="1" min="11" max="11"/>
    <col width="14" customWidth="1" min="12" max="12"/>
    <col width="28" customWidth="1" min="13" max="13"/>
    <col width="30" customWidth="1" min="14" max="14"/>
  </cols>
  <sheetData>
    <row r="1">
      <c r="A1" s="11" t="inlineStr">
        <is>
          <t>Operator Name</t>
        </is>
      </c>
      <c r="B1" s="11" t="inlineStr">
        <is>
          <t>Type</t>
        </is>
      </c>
      <c r="C1" s="11" t="inlineStr">
        <is>
          <t>HQ Location</t>
        </is>
      </c>
      <c r="D1" s="11" t="inlineStr">
        <is>
          <t>UK Coverage</t>
        </is>
      </c>
      <c r="E1" s="11" t="inlineStr">
        <is>
          <t>London Presence</t>
        </is>
      </c>
      <c r="F1" s="11" t="inlineStr">
        <is>
          <t>Machine Count (est.)</t>
        </is>
      </c>
      <c r="G1" s="11" t="inlineStr">
        <is>
          <t>Service Model</t>
        </is>
      </c>
      <c r="H1" s="11" t="inlineStr">
        <is>
          <t>Target Sectors</t>
        </is>
      </c>
      <c r="I1" s="11" t="inlineStr">
        <is>
          <t>Key Differentiator</t>
        </is>
      </c>
      <c r="J1" s="11" t="inlineStr">
        <is>
          <t>Pricing Model</t>
        </is>
      </c>
      <c r="K1" s="11" t="inlineStr">
        <is>
          <t>Website</t>
        </is>
      </c>
      <c r="L1" s="11" t="inlineStr">
        <is>
          <t>Threat Level</t>
        </is>
      </c>
      <c r="M1" s="11" t="inlineStr">
        <is>
          <t>Opportunity</t>
        </is>
      </c>
      <c r="N1" s="11" t="inlineStr">
        <is>
          <t>Notes</t>
        </is>
      </c>
    </row>
    <row r="2">
      <c r="A2" t="inlineStr">
        <is>
          <t>Selecta UK</t>
        </is>
      </c>
      <c r="B2" t="inlineStr">
        <is>
          <t>National</t>
        </is>
      </c>
      <c r="C2" t="inlineStr">
        <is>
          <t>Zurich (UK operations)</t>
        </is>
      </c>
      <c r="D2" t="inlineStr">
        <is>
          <t>Nationwide</t>
        </is>
      </c>
      <c r="E2" t="inlineStr">
        <is>
          <t>Strong</t>
        </is>
      </c>
      <c r="F2" t="inlineStr">
        <is>
          <t>9,000+ (via The Vending People brands)</t>
        </is>
      </c>
      <c r="G2" t="inlineStr">
        <is>
          <t>Fully managed — install, stock, maintain</t>
        </is>
      </c>
      <c r="H2" t="inlineStr">
        <is>
          <t>Corporate, public sector, leisure, transport</t>
        </is>
      </c>
      <c r="I2" t="inlineStr">
        <is>
          <t>Scale, brand partnerships (Starbucks, Coca-Cola), Foodies micro-market concept</t>
        </is>
      </c>
      <c r="J2" t="inlineStr">
        <is>
          <t>Free placement + revenue share</t>
        </is>
      </c>
      <c r="K2" t="inlineStr">
        <is>
          <t>selecta.com</t>
        </is>
      </c>
      <c r="L2" t="inlineStr">
        <is>
          <t>High</t>
        </is>
      </c>
      <c r="M2" t="inlineStr">
        <is>
          <t>Slow to serve small/medium sites. Corporate SLAs mean inflexible service. Premium pricing leaves room for competitive indie pricing.</t>
        </is>
      </c>
      <c r="N2" t="inlineStr">
        <is>
          <t>£137M turnover 2023. 3 London depots. Acquired The Vending People. Europe's largest vending operator.</t>
        </is>
      </c>
    </row>
    <row r="3">
      <c r="A3" t="inlineStr">
        <is>
          <t>The Vending People</t>
        </is>
      </c>
      <c r="B3" t="inlineStr">
        <is>
          <t>National</t>
        </is>
      </c>
      <c r="C3" t="inlineStr">
        <is>
          <t>Unknown</t>
        </is>
      </c>
      <c r="D3" t="inlineStr">
        <is>
          <t>Nationwide</t>
        </is>
      </c>
      <c r="E3" t="inlineStr">
        <is>
          <t>Strong</t>
        </is>
      </c>
      <c r="F3" t="inlineStr">
        <is>
          <t>9,000+</t>
        </is>
      </c>
      <c r="G3" t="inlineStr">
        <is>
          <t>Fully managed</t>
        </is>
      </c>
      <c r="H3" t="inlineStr">
        <is>
          <t>Various — corporate, education, healthcare</t>
        </is>
      </c>
      <c r="I3" t="inlineStr">
        <is>
          <t>Scale and breadth of coverage</t>
        </is>
      </c>
      <c r="J3" t="inlineStr">
        <is>
          <t>Free placement + revenue share</t>
        </is>
      </c>
      <c r="K3" t="inlineStr">
        <is>
          <t>thevendingpeople.co.uk</t>
        </is>
      </c>
      <c r="L3" t="inlineStr">
        <is>
          <t>High</t>
        </is>
      </c>
      <c r="M3" t="inlineStr">
        <is>
          <t>Now part of Selecta — potential integration friction. May deprioritise smaller accounts.</t>
        </is>
      </c>
      <c r="N3" t="inlineStr">
        <is>
          <t>Acquired by Selecta. Fleet figures overlap with Selecta's.</t>
        </is>
      </c>
    </row>
    <row r="4">
      <c r="A4" t="inlineStr">
        <is>
          <t>The Jar Healthy Vending</t>
        </is>
      </c>
      <c r="B4" t="inlineStr">
        <is>
          <t>Regional</t>
        </is>
      </c>
      <c r="C4" t="inlineStr">
        <is>
          <t>Chelsea, London SW3</t>
        </is>
      </c>
      <c r="D4" t="inlineStr">
        <is>
          <t>London-centric</t>
        </is>
      </c>
      <c r="E4" t="inlineStr">
        <is>
          <t>Strong</t>
        </is>
      </c>
      <c r="F4" t="inlineStr">
        <is>
          <t>Unknown</t>
        </is>
      </c>
      <c r="G4" t="inlineStr">
        <is>
          <t>Fully managed with smart monitoring</t>
        </is>
      </c>
      <c r="H4" t="inlineStr">
        <is>
          <t>Offices, health-conscious workplaces, premium locations</t>
        </is>
      </c>
      <c r="I4" t="inlineStr">
        <is>
          <t>Healthy/premium niche, curated product range, brand identity</t>
        </is>
      </c>
      <c r="J4" t="inlineStr">
        <is>
          <t>Free placement, managed service</t>
        </is>
      </c>
      <c r="K4" t="inlineStr">
        <is>
          <t>eatjar.com</t>
        </is>
      </c>
      <c r="L4" t="inlineStr">
        <is>
          <t>Medium</t>
        </is>
      </c>
      <c r="M4" t="inlineStr">
        <is>
          <t>Narrow niche — only healthy/premium. Leaves conventional snack/drink market open. Likely premium pricing limits to affluent areas.</t>
        </is>
      </c>
      <c r="N4" t="inlineStr">
        <is>
          <t>Strong brand positioning in wellness space. Good benchmark for healthy vending differentiation.</t>
        </is>
      </c>
    </row>
    <row r="5">
      <c r="A5" t="inlineStr">
        <is>
          <t>Vending Services Ltd</t>
        </is>
      </c>
      <c r="B5" t="inlineStr">
        <is>
          <t>Regional</t>
        </is>
      </c>
      <c r="C5" t="inlineStr">
        <is>
          <t>Rochester, Kent</t>
        </is>
      </c>
      <c r="D5" t="inlineStr">
        <is>
          <t>London &amp; South East</t>
        </is>
      </c>
      <c r="E5" t="inlineStr">
        <is>
          <t>Moderate</t>
        </is>
      </c>
      <c r="F5" t="inlineStr">
        <is>
          <t>Unknown</t>
        </is>
      </c>
      <c r="G5" t="inlineStr">
        <is>
          <t>Fully managed</t>
        </is>
      </c>
      <c r="H5" t="inlineStr">
        <is>
          <t>Various</t>
        </is>
      </c>
      <c r="I5" t="inlineStr">
        <is>
          <t>25+ years experience, local relationships</t>
        </is>
      </c>
      <c r="J5" t="inlineStr">
        <is>
          <t>Contact for quote</t>
        </is>
      </c>
      <c r="K5" t="inlineStr">
        <is>
          <t>vendingservices.co.uk</t>
        </is>
      </c>
      <c r="L5" t="inlineStr">
        <is>
          <t>Medium</t>
        </is>
      </c>
      <c r="M5" t="inlineStr">
        <is>
          <t>Kent-based — less responsive to central/north London. Established but may lack modern tech (cashless, telemetry).</t>
        </is>
      </c>
      <c r="N5" t="inlineStr">
        <is>
          <t>Contact: matthew@vendingservices.co.uk. Long-standing operator.</t>
        </is>
      </c>
    </row>
    <row r="6">
      <c r="A6" t="inlineStr">
        <is>
          <t>Westways Vending</t>
        </is>
      </c>
      <c r="B6" t="inlineStr">
        <is>
          <t>Regional</t>
        </is>
      </c>
      <c r="C6" t="inlineStr">
        <is>
          <t>Reading</t>
        </is>
      </c>
      <c r="D6" t="inlineStr">
        <is>
          <t>Surrey, Sussex, Kent, South London</t>
        </is>
      </c>
      <c r="E6" t="inlineStr">
        <is>
          <t>Moderate</t>
        </is>
      </c>
      <c r="F6" t="inlineStr">
        <is>
          <t>Unknown</t>
        </is>
      </c>
      <c r="G6" t="inlineStr">
        <is>
          <t>Fully managed</t>
        </is>
      </c>
      <c r="H6" t="inlineStr">
        <is>
          <t>Various</t>
        </is>
      </c>
      <c r="I6" t="inlineStr">
        <is>
          <t>Family-owned ~50 years, deep local knowledge</t>
        </is>
      </c>
      <c r="J6" t="inlineStr">
        <is>
          <t>Contact for quote</t>
        </is>
      </c>
      <c r="K6" t="inlineStr">
        <is>
          <t>westwaysvending.co.uk</t>
        </is>
      </c>
      <c r="L6" t="inlineStr">
        <is>
          <t>Low</t>
        </is>
      </c>
      <c r="M6" t="inlineStr">
        <is>
          <t>Reading-based — south London fringe only. No central/north/east London presence. Aging business model possible.</t>
        </is>
      </c>
      <c r="N6" t="inlineStr">
        <is>
          <t>Long-established family business. Primarily M4 corridor and Home Counties.</t>
        </is>
      </c>
    </row>
    <row r="7">
      <c r="A7" t="inlineStr">
        <is>
          <t>MorVend</t>
        </is>
      </c>
      <c r="B7" t="inlineStr">
        <is>
          <t>Regional</t>
        </is>
      </c>
      <c r="C7" t="inlineStr">
        <is>
          <t>London</t>
        </is>
      </c>
      <c r="D7" t="inlineStr">
        <is>
          <t>London &amp; South East</t>
        </is>
      </c>
      <c r="E7" t="inlineStr">
        <is>
          <t>Moderate</t>
        </is>
      </c>
      <c r="F7" t="inlineStr">
        <is>
          <t>Unknown</t>
        </is>
      </c>
      <c r="G7" t="inlineStr">
        <is>
          <t>Fully managed</t>
        </is>
      </c>
      <c r="H7" t="inlineStr">
        <is>
          <t>Various</t>
        </is>
      </c>
      <c r="I7" t="inlineStr">
        <is>
          <t>Family-run since 1968, deep London knowledge</t>
        </is>
      </c>
      <c r="J7" t="inlineStr">
        <is>
          <t>Contact for quote</t>
        </is>
      </c>
      <c r="K7" t="inlineStr">
        <is>
          <t>morvend.co.uk</t>
        </is>
      </c>
      <c r="L7" t="inlineStr">
        <is>
          <t>Medium</t>
        </is>
      </c>
      <c r="M7" t="inlineStr">
        <is>
          <t>Legacy operator — may be slower to adopt cashless/telemetry tech. Potential acquisition target or partnership.</t>
        </is>
      </c>
      <c r="N7" t="inlineStr">
        <is>
          <t>Family-run since 1968. One of London's longest-running independents.</t>
        </is>
      </c>
    </row>
    <row r="8">
      <c r="A8" t="inlineStr">
        <is>
          <t>Nu Vending</t>
        </is>
      </c>
      <c r="B8" t="inlineStr">
        <is>
          <t>Regional</t>
        </is>
      </c>
      <c r="C8" t="inlineStr">
        <is>
          <t>London NW10</t>
        </is>
      </c>
      <c r="D8" t="inlineStr">
        <is>
          <t>London</t>
        </is>
      </c>
      <c r="E8" t="inlineStr">
        <is>
          <t>Strong</t>
        </is>
      </c>
      <c r="F8" t="inlineStr">
        <is>
          <t>Unknown</t>
        </is>
      </c>
      <c r="G8" t="inlineStr">
        <is>
          <t>Fully managed + micro markets</t>
        </is>
      </c>
      <c r="H8" t="inlineStr">
        <is>
          <t>Offices, hospitals, hotels</t>
        </is>
      </c>
      <c r="I8" t="inlineStr">
        <is>
          <t>Strong London focus, micro market capability</t>
        </is>
      </c>
      <c r="J8" t="inlineStr">
        <is>
          <t>Free placement, managed service</t>
        </is>
      </c>
      <c r="K8" t="inlineStr">
        <is>
          <t>nuvending.co.uk</t>
        </is>
      </c>
      <c r="L8" t="inlineStr">
        <is>
          <t>High</t>
        </is>
      </c>
      <c r="M8" t="inlineStr">
        <is>
          <t>Direct competitor in London. Differentiating on service speed, niche locations, or healthier options could carve space.</t>
        </is>
      </c>
      <c r="N8" t="inlineStr">
        <is>
          <t>London's foremost vending solutions provider. Also offers micro markets — a growing segment.</t>
        </is>
      </c>
    </row>
    <row r="9">
      <c r="A9" t="inlineStr">
        <is>
          <t>The Snack Choice</t>
        </is>
      </c>
      <c r="B9" t="inlineStr">
        <is>
          <t>Independent</t>
        </is>
      </c>
      <c r="C9" t="inlineStr">
        <is>
          <t>Southampton</t>
        </is>
      </c>
      <c r="D9" t="inlineStr">
        <is>
          <t>Hampshire</t>
        </is>
      </c>
      <c r="E9" t="inlineStr">
        <is>
          <t>Weak</t>
        </is>
      </c>
      <c r="F9" t="inlineStr">
        <is>
          <t>15+ installations</t>
        </is>
      </c>
      <c r="G9" t="inlineStr">
        <is>
          <t>Fully managed</t>
        </is>
      </c>
      <c r="H9" t="inlineStr">
        <is>
          <t>Local businesses</t>
        </is>
      </c>
      <c r="I9" t="inlineStr">
        <is>
          <t>Small, agile, personal service</t>
        </is>
      </c>
      <c r="J9" t="inlineStr">
        <is>
          <t>Contact for quote</t>
        </is>
      </c>
      <c r="K9" t="inlineStr">
        <is>
          <t>thesnackchoice.co.uk</t>
        </is>
      </c>
      <c r="L9" t="inlineStr">
        <is>
          <t>Low</t>
        </is>
      </c>
      <c r="M9" t="inlineStr">
        <is>
          <t>No London presence. Benchmark comparator — similar stage/scale to target operation.</t>
        </is>
      </c>
      <c r="N9" t="inlineStr">
        <is>
          <t>Romell/Sade's operation. Useful as peer benchmark for growth trajectory and operational model.</t>
        </is>
      </c>
    </row>
    <row r="10">
      <c r="A10" t="inlineStr">
        <is>
          <t>Compass Group (Canteen)</t>
        </is>
      </c>
      <c r="B10" t="inlineStr">
        <is>
          <t>National</t>
        </is>
      </c>
      <c r="C10" t="inlineStr">
        <is>
          <t>Chertsey, Surrey (Global FM)</t>
        </is>
      </c>
      <c r="D10" t="inlineStr">
        <is>
          <t>Nationwide</t>
        </is>
      </c>
      <c r="E10" t="inlineStr">
        <is>
          <t>Strong</t>
        </is>
      </c>
      <c r="F10" t="inlineStr">
        <is>
          <t>Unknown (part of broader FM offering)</t>
        </is>
      </c>
      <c r="G10" t="inlineStr">
        <is>
          <t>Integrated facilities management including vending</t>
        </is>
      </c>
      <c r="H10" t="inlineStr">
        <is>
          <t>Large corporate, education, healthcare, defence</t>
        </is>
      </c>
      <c r="I10" t="inlineStr">
        <is>
          <t>Scale, bundled FM contracts, global brand</t>
        </is>
      </c>
      <c r="J10" t="inlineStr">
        <is>
          <t>Bundled within FM contracts</t>
        </is>
      </c>
      <c r="K10" t="inlineStr">
        <is>
          <t>compass-group.co.uk</t>
        </is>
      </c>
      <c r="L10" t="inlineStr">
        <is>
          <t>High</t>
        </is>
      </c>
      <c r="M10" t="inlineStr">
        <is>
          <t>Only serves large corporates with full FM contracts. SMEs and independents are not their market. Vending is add-on, not core focus.</t>
        </is>
      </c>
      <c r="N10" t="inlineStr">
        <is>
          <t>World's largest food service company. Vending is a small part of their offering.</t>
        </is>
      </c>
    </row>
    <row r="11">
      <c r="A11" t="inlineStr">
        <is>
          <t>Aramark</t>
        </is>
      </c>
      <c r="B11" t="inlineStr">
        <is>
          <t>National</t>
        </is>
      </c>
      <c r="C11" t="inlineStr">
        <is>
          <t>Philadelphia, US (UK operations)</t>
        </is>
      </c>
      <c r="D11" t="inlineStr">
        <is>
          <t>Nationwide</t>
        </is>
      </c>
      <c r="E11" t="inlineStr">
        <is>
          <t>Moderate</t>
        </is>
      </c>
      <c r="F11" t="inlineStr">
        <is>
          <t>Unknown (part of broader FM offering)</t>
        </is>
      </c>
      <c r="G11" t="inlineStr">
        <is>
          <t>Integrated facilities management including vending</t>
        </is>
      </c>
      <c r="H11" t="inlineStr">
        <is>
          <t>Corporate, education, healthcare</t>
        </is>
      </c>
      <c r="I11" t="inlineStr">
        <is>
          <t>Global scale, bundled services</t>
        </is>
      </c>
      <c r="J11" t="inlineStr">
        <is>
          <t>Bundled within FM contracts</t>
        </is>
      </c>
      <c r="K11" t="inlineStr">
        <is>
          <t>aramark.co.uk</t>
        </is>
      </c>
      <c r="L11" t="inlineStr">
        <is>
          <t>Medium</t>
        </is>
      </c>
      <c r="M11" t="inlineStr">
        <is>
          <t>Same as Compass — locked into large FM contracts. No interest in small sites. Vending not core.</t>
        </is>
      </c>
      <c r="N11" t="inlineStr">
        <is>
          <t>US-headquartered FM giant. UK presence via corporate contracts.</t>
        </is>
      </c>
    </row>
    <row r="12">
      <c r="A12" t="inlineStr">
        <is>
          <t>Sodexo</t>
        </is>
      </c>
      <c r="B12" t="inlineStr">
        <is>
          <t>National</t>
        </is>
      </c>
      <c r="C12" t="inlineStr">
        <is>
          <t>Paris (UK operations)</t>
        </is>
      </c>
      <c r="D12" t="inlineStr">
        <is>
          <t>Nationwide</t>
        </is>
      </c>
      <c r="E12" t="inlineStr">
        <is>
          <t>Moderate</t>
        </is>
      </c>
      <c r="F12" t="inlineStr">
        <is>
          <t>Unknown (part of broader FM offering)</t>
        </is>
      </c>
      <c r="G12" t="inlineStr">
        <is>
          <t>Integrated facilities management including vending</t>
        </is>
      </c>
      <c r="H12" t="inlineStr">
        <is>
          <t>Corporate, government, education, healthcare</t>
        </is>
      </c>
      <c r="I12" t="inlineStr">
        <is>
          <t>Global scale, bundled FM, strong public sector presence</t>
        </is>
      </c>
      <c r="J12" t="inlineStr">
        <is>
          <t>Bundled within FM contracts</t>
        </is>
      </c>
      <c r="K12" t="inlineStr">
        <is>
          <t>sodexo.com</t>
        </is>
      </c>
      <c r="L12" t="inlineStr">
        <is>
          <t>Medium</t>
        </is>
      </c>
      <c r="M12" t="inlineStr">
        <is>
          <t>Same pattern — large FM contracts only. Strong in public sector which is hard to crack anyway.</t>
        </is>
      </c>
      <c r="N12" t="inlineStr">
        <is>
          <t>French FM giant. UK operations significant but vending is minor component.</t>
        </is>
      </c>
    </row>
    <row r="13">
      <c r="A13" t="inlineStr">
        <is>
          <t>YumMy Vending</t>
        </is>
      </c>
      <c r="B13" t="inlineStr">
        <is>
          <t>Independent</t>
        </is>
      </c>
      <c r="C13" t="inlineStr">
        <is>
          <t>London</t>
        </is>
      </c>
      <c r="D13" t="inlineStr">
        <is>
          <t>London</t>
        </is>
      </c>
      <c r="E13" t="inlineStr">
        <is>
          <t>Moderate</t>
        </is>
      </c>
      <c r="F13" t="inlineStr">
        <is>
          <t>Unknown</t>
        </is>
      </c>
      <c r="G13" t="inlineStr">
        <is>
          <t>Fully managed — install, stock, maintain</t>
        </is>
      </c>
      <c r="H13" t="inlineStr">
        <is>
          <t>Offices, workplaces</t>
        </is>
      </c>
      <c r="I13" t="inlineStr">
        <is>
          <t>Customisable product selection, multilingual support, fresh food options</t>
        </is>
      </c>
      <c r="J13" t="inlineStr">
        <is>
          <t>Free placement, managed service</t>
        </is>
      </c>
      <c r="K13" t="inlineStr">
        <is>
          <t>yummyvending.co.uk</t>
        </is>
      </c>
      <c r="L13" t="inlineStr">
        <is>
          <t>Medium</t>
        </is>
      </c>
      <c r="M13" t="inlineStr">
        <is>
          <t>Small operator — likely limited fleet and coverage areas. Competing on service quality and responsiveness.</t>
        </is>
      </c>
      <c r="N13" t="inlineStr">
        <is>
          <t>London-based independent. Offers snacks, drinks, and fresh food including baguettes and samosas.</t>
        </is>
      </c>
    </row>
    <row r="14">
      <c r="A14" t="inlineStr">
        <is>
          <t>Cafepoint</t>
        </is>
      </c>
      <c r="B14" t="inlineStr">
        <is>
          <t>Regional</t>
        </is>
      </c>
      <c r="C14" t="inlineStr">
        <is>
          <t>London</t>
        </is>
      </c>
      <c r="D14" t="inlineStr">
        <is>
          <t>London and South East</t>
        </is>
      </c>
      <c r="E14" t="inlineStr">
        <is>
          <t>Strong</t>
        </is>
      </c>
      <c r="F14" t="inlineStr">
        <is>
          <t>Unknown</t>
        </is>
      </c>
      <c r="G14" t="inlineStr">
        <is>
          <t>Fully managed — machines, micro markets, coffee solutions</t>
        </is>
      </c>
      <c r="H14" t="inlineStr">
        <is>
          <t>Offices, finance, law firms, hospitality, warehouses</t>
        </is>
      </c>
      <c r="I14" t="inlineStr">
        <is>
          <t>Micro market specialist, all operations London-based, premium workplace focus</t>
        </is>
      </c>
      <c r="J14" t="inlineStr">
        <is>
          <t>Free placement, managed service</t>
        </is>
      </c>
      <c r="K14" t="inlineStr">
        <is>
          <t>cafepoint.co.uk</t>
        </is>
      </c>
      <c r="L14" t="inlineStr">
        <is>
          <t>High</t>
        </is>
      </c>
      <c r="M14" t="inlineStr">
        <is>
          <t>Premium/corporate focus may overlook smaller offices and blue-collar sites. Micro market model requires larger spaces — not suitable for all locations.</t>
        </is>
      </c>
      <c r="N14" t="inlineStr">
        <is>
          <t>UK's leading independent micro market provider. Phone: 020 8523 3000. Strong in City/Canary Wharf corporate space. Entire operation based in London.</t>
        </is>
      </c>
    </row>
    <row r="15">
      <c r="A15" t="inlineStr">
        <is>
          <t>Dupont Latour</t>
        </is>
      </c>
      <c r="B15" t="inlineStr">
        <is>
          <t>Independent</t>
        </is>
      </c>
      <c r="C15" t="inlineStr">
        <is>
          <t>London</t>
        </is>
      </c>
      <c r="D15" t="inlineStr">
        <is>
          <t>London and South East</t>
        </is>
      </c>
      <c r="E15" t="inlineStr">
        <is>
          <t>Moderate</t>
        </is>
      </c>
      <c r="F15" t="inlineStr">
        <is>
          <t>Unknown</t>
        </is>
      </c>
      <c r="G15" t="inlineStr">
        <is>
          <t>Design, build and install micro markets and food service spaces</t>
        </is>
      </c>
      <c r="H15" t="inlineStr">
        <is>
          <t>Factories, corporate offices</t>
        </is>
      </c>
      <c r="I15" t="inlineStr">
        <is>
          <t>Micro market design/build specialist, modular solutions, bespoke installations</t>
        </is>
      </c>
      <c r="J15" t="inlineStr">
        <is>
          <t>Quote-based project work</t>
        </is>
      </c>
      <c r="K15" t="inlineStr">
        <is>
          <t>dupontlatour.com</t>
        </is>
      </c>
      <c r="L15" t="inlineStr">
        <is>
          <t>Low</t>
        </is>
      </c>
      <c r="M15" t="inlineStr">
        <is>
          <t>More of a fit-out company than an operator. Could be a partner rather than competitor — they build the space, you operate it.</t>
        </is>
      </c>
      <c r="N15" t="inlineStr">
        <is>
          <t>Established 2011. Designs food service counters, cafes, restaurant interiors, and micro market installations. More fit-out than operations.</t>
        </is>
      </c>
    </row>
  </sheetData>
  <dataValidations count="3">
    <dataValidation sqref="B2:B50" showDropDown="0" showInputMessage="0" showErrorMessage="0" allowBlank="1" errorTitle="Invalid Entry" error="Please select from the dropdown list" type="list">
      <formula1>"National,Regional,Independent,Micro-Market"</formula1>
    </dataValidation>
    <dataValidation sqref="E2:E50" showDropDown="0" showInputMessage="0" showErrorMessage="0" allowBlank="1" errorTitle="Invalid Entry" error="Please select from the dropdown list" type="list">
      <formula1>"Strong,Moderate,Weak,Unknown"</formula1>
    </dataValidation>
    <dataValidation sqref="L2:L50" showDropDown="0" showInputMessage="0" showErrorMessage="0" allowBlank="1" errorTitle="Invalid Entry" error="Please select from the dropdown list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18" customWidth="1" min="4" max="4"/>
    <col width="30" customWidth="1" min="5" max="5"/>
  </cols>
  <sheetData>
    <row r="1">
      <c r="A1" s="17" t="inlineStr">
        <is>
          <t>STARTUP COST CALCULATOR</t>
        </is>
      </c>
    </row>
    <row r="2">
      <c r="A2" s="18" t="inlineStr">
        <is>
          <t>Number of machines:</t>
        </is>
      </c>
      <c r="B2" s="19" t="n">
        <v>2</v>
      </c>
      <c r="C2" t="inlineStr">
        <is>
          <t>machines</t>
        </is>
      </c>
    </row>
    <row r="4">
      <c r="A4" s="3" t="inlineStr">
        <is>
          <t>CAPITAL COSTS</t>
        </is>
      </c>
      <c r="B4" s="20" t="inlineStr">
        <is>
          <t>Per Machine (£)</t>
        </is>
      </c>
      <c r="C4" s="20" t="inlineStr">
        <is>
          <t>Quantity</t>
        </is>
      </c>
      <c r="D4" s="20" t="inlineStr">
        <is>
          <t>Total (£)</t>
        </is>
      </c>
    </row>
    <row r="5">
      <c r="A5" s="21" t="inlineStr">
        <is>
          <t>Vending Machine (refurb)</t>
        </is>
      </c>
      <c r="B5" s="22" t="n">
        <v>1750</v>
      </c>
      <c r="C5" s="21">
        <f>$B$2</f>
        <v/>
      </c>
      <c r="D5" s="7">
        <f>B5*C5</f>
        <v/>
      </c>
    </row>
    <row r="6">
      <c r="A6" s="21" t="inlineStr">
        <is>
          <t>VAT on Machine</t>
        </is>
      </c>
      <c r="B6" s="7">
        <f>B5*0.2</f>
        <v/>
      </c>
      <c r="C6" s="21">
        <f>$B$2</f>
        <v/>
      </c>
      <c r="D6" s="7">
        <f>B6*C6</f>
        <v/>
      </c>
    </row>
    <row r="7">
      <c r="A7" s="21" t="inlineStr">
        <is>
          <t>Nayax VPOS Touch</t>
        </is>
      </c>
      <c r="B7" s="22" t="n">
        <v>450</v>
      </c>
      <c r="C7" s="21">
        <f>$B$2</f>
        <v/>
      </c>
      <c r="D7" s="7">
        <f>B7*C7</f>
        <v/>
      </c>
    </row>
    <row r="8">
      <c r="A8" s="21" t="inlineStr">
        <is>
          <t>VAT on Nayax</t>
        </is>
      </c>
      <c r="B8" s="7">
        <f>B7*0.2</f>
        <v/>
      </c>
      <c r="C8" s="21">
        <f>$B$2</f>
        <v/>
      </c>
      <c r="D8" s="7">
        <f>B8*C8</f>
        <v/>
      </c>
    </row>
    <row r="9">
      <c r="A9" s="21" t="inlineStr">
        <is>
          <t>Delivery &amp; Installation</t>
        </is>
      </c>
      <c r="B9" s="22" t="n">
        <v>150</v>
      </c>
      <c r="C9" s="21">
        <f>$B$2</f>
        <v/>
      </c>
      <c r="D9" s="7">
        <f>B9*C9</f>
        <v/>
      </c>
    </row>
    <row r="10">
      <c r="A10" s="21" t="inlineStr">
        <is>
          <t>Initial Stock Fill</t>
        </is>
      </c>
      <c r="B10" s="22" t="n">
        <v>200</v>
      </c>
      <c r="C10" s="21">
        <f>$B$2</f>
        <v/>
      </c>
      <c r="D10" s="7">
        <f>B10*C10</f>
        <v/>
      </c>
    </row>
    <row r="11">
      <c r="A11" s="5" t="inlineStr">
        <is>
          <t>Subtotal Capital</t>
        </is>
      </c>
      <c r="D11" s="23">
        <f>SUM(D5:D10)</f>
        <v/>
      </c>
    </row>
    <row r="13">
      <c r="A13" s="3" t="inlineStr">
        <is>
          <t>SETUP COSTS (ONE-OFF)</t>
        </is>
      </c>
      <c r="B13" s="20" t="inlineStr">
        <is>
          <t>Cost (£)</t>
        </is>
      </c>
      <c r="C13" s="20" t="inlineStr">
        <is>
          <t>Qty</t>
        </is>
      </c>
      <c r="D13" s="20" t="inlineStr">
        <is>
          <t>Total (£)</t>
        </is>
      </c>
    </row>
    <row r="14">
      <c r="A14" s="21" t="inlineStr">
        <is>
          <t>Company Registration (Ltd)</t>
        </is>
      </c>
      <c r="B14" s="22" t="n">
        <v>50</v>
      </c>
      <c r="C14" s="21" t="n">
        <v>1</v>
      </c>
      <c r="D14" s="7">
        <f>B14*C14</f>
        <v/>
      </c>
      <c r="E14" s="24" t="inlineStr">
        <is>
          <t>Companies House</t>
        </is>
      </c>
    </row>
    <row r="15">
      <c r="A15" s="21" t="inlineStr">
        <is>
          <t>Food Business Registration</t>
        </is>
      </c>
      <c r="B15" s="22" t="n">
        <v>0</v>
      </c>
      <c r="C15" s="21" t="n">
        <v>1</v>
      </c>
      <c r="D15" s="7">
        <f>B15*C15</f>
        <v/>
      </c>
      <c r="E15" s="24" t="inlineStr">
        <is>
          <t>Free, local council, 28 days before trading</t>
        </is>
      </c>
    </row>
    <row r="16">
      <c r="A16" s="21" t="inlineStr">
        <is>
          <t>Food Hygiene Certificate</t>
        </is>
      </c>
      <c r="B16" s="22" t="n">
        <v>150</v>
      </c>
      <c r="C16" s="21" t="n">
        <v>1</v>
      </c>
      <c r="D16" s="7">
        <f>B16*C16</f>
        <v/>
      </c>
      <c r="E16" s="24" t="inlineStr">
        <is>
          <t>Level 2 online course</t>
        </is>
      </c>
    </row>
    <row r="17">
      <c r="A17" s="21" t="inlineStr">
        <is>
          <t>Public Liability Insurance (annual)</t>
        </is>
      </c>
      <c r="B17" s="22" t="n">
        <v>150</v>
      </c>
      <c r="C17" s="21" t="n">
        <v>1</v>
      </c>
      <c r="D17" s="7">
        <f>B17*C17</f>
        <v/>
      </c>
      <c r="E17" s="24" t="inlineStr">
        <is>
          <t>£1-2M cover — get quotes, may be £300-600</t>
        </is>
      </c>
    </row>
    <row r="18">
      <c r="A18" s="21" t="inlineStr">
        <is>
          <t>Product Liability Insurance (annual)</t>
        </is>
      </c>
      <c r="B18" s="22" t="n">
        <v>100</v>
      </c>
      <c r="C18" s="21" t="n">
        <v>1</v>
      </c>
      <c r="D18" s="7">
        <f>B18*C18</f>
        <v/>
      </c>
      <c r="E18" s="24" t="inlineStr">
        <is>
          <t>Often bundled with above</t>
        </is>
      </c>
    </row>
    <row r="19">
      <c r="A19" s="21" t="inlineStr">
        <is>
          <t>PAT Testing</t>
        </is>
      </c>
      <c r="B19" s="22" t="n">
        <v>50</v>
      </c>
      <c r="C19" s="21">
        <f>$B$2</f>
        <v/>
      </c>
      <c r="D19" s="7">
        <f>B19*C19</f>
        <v/>
      </c>
      <c r="E19" s="24" t="inlineStr">
        <is>
          <t>Per machine</t>
        </is>
      </c>
    </row>
    <row r="20">
      <c r="A20" s="21" t="inlineStr">
        <is>
          <t>Nayax KYC/Setup Fee</t>
        </is>
      </c>
      <c r="B20" s="22" t="n">
        <v>45</v>
      </c>
      <c r="C20" s="21" t="n">
        <v>1</v>
      </c>
      <c r="D20" s="7">
        <f>B20*C20</f>
        <v/>
      </c>
      <c r="E20" s="24" t="inlineStr">
        <is>
          <t>Per Nayax account</t>
        </is>
      </c>
    </row>
    <row r="21">
      <c r="A21" s="21" t="inlineStr">
        <is>
          <t>Branding/Wrapping (optional)</t>
        </is>
      </c>
      <c r="B21" s="22" t="n">
        <v>200</v>
      </c>
      <c r="C21" s="21">
        <f>$B$2</f>
        <v/>
      </c>
      <c r="D21" s="7">
        <f>B21*C21</f>
        <v/>
      </c>
      <c r="E21" s="24" t="inlineStr">
        <is>
          <t>Custom vinyl wrap per machine</t>
        </is>
      </c>
    </row>
    <row r="22">
      <c r="A22" s="21" t="inlineStr">
        <is>
          <t>Printed Materials (leaflets/cards)</t>
        </is>
      </c>
      <c r="B22" s="22" t="n">
        <v>75</v>
      </c>
      <c r="C22" s="21" t="n">
        <v>1</v>
      </c>
      <c r="D22" s="7">
        <f>B22*C22</f>
        <v/>
      </c>
      <c r="E22" s="24" t="inlineStr">
        <is>
          <t>For site pitching</t>
        </is>
      </c>
    </row>
    <row r="23">
      <c r="A23" s="21" t="inlineStr">
        <is>
          <t>Customer Acquisition (time/fuel)</t>
        </is>
      </c>
      <c r="B23" s="22" t="n">
        <v>100</v>
      </c>
      <c r="C23" s="21">
        <f>$B$2</f>
        <v/>
      </c>
      <c r="D23" s="7">
        <f>B23*C23</f>
        <v/>
      </c>
      <c r="E23" s="24" t="inlineStr">
        <is>
          <t>£100 per placed machine — ~10 pitches per win</t>
        </is>
      </c>
    </row>
    <row r="24">
      <c r="A24" s="5" t="inlineStr">
        <is>
          <t>Subtotal Setup</t>
        </is>
      </c>
      <c r="D24" s="23">
        <f>SUM(D14:D23)</f>
        <v/>
      </c>
    </row>
    <row r="26">
      <c r="A26" s="3" t="inlineStr">
        <is>
          <t>MONTHLY OPERATING COSTS</t>
        </is>
      </c>
      <c r="B26" s="20" t="inlineStr">
        <is>
          <t>Per Machine/Month (£)</t>
        </is>
      </c>
      <c r="C26" s="4" t="n"/>
      <c r="D26" s="20" t="inlineStr">
        <is>
          <t>Total/Month (£)</t>
        </is>
      </c>
    </row>
    <row r="27">
      <c r="A27" s="21" t="inlineStr">
        <is>
          <t>Nayax Monthly Fee</t>
        </is>
      </c>
      <c r="B27" s="7" t="n">
        <v>10</v>
      </c>
      <c r="D27" s="7">
        <f>B27*$B$2</f>
        <v/>
      </c>
    </row>
    <row r="28">
      <c r="A28" s="21" t="inlineStr">
        <is>
          <t>Nayax SIM/Data</t>
        </is>
      </c>
      <c r="B28" s="7" t="n">
        <v>5</v>
      </c>
      <c r="D28" s="7">
        <f>B28*$B$2</f>
        <v/>
      </c>
    </row>
    <row r="29">
      <c r="A29" s="21" t="inlineStr">
        <is>
          <t>Site Rent / Commission</t>
        </is>
      </c>
      <c r="B29" s="22" t="n">
        <v>100</v>
      </c>
      <c r="D29" s="7">
        <f>B29*$B$2</f>
        <v/>
      </c>
    </row>
    <row r="30">
      <c r="A30" s="21" t="inlineStr">
        <is>
          <t>Stock Replenishment</t>
        </is>
      </c>
      <c r="B30" s="22" t="n">
        <v>400</v>
      </c>
      <c r="D30" s="7">
        <f>B30*$B$2</f>
        <v/>
      </c>
    </row>
    <row r="31">
      <c r="A31" s="21" t="inlineStr">
        <is>
          <t>Travel/Fuel</t>
        </is>
      </c>
      <c r="B31" s="22" t="n">
        <v>80</v>
      </c>
      <c r="D31" s="7">
        <f>B31*$B$2</f>
        <v/>
      </c>
    </row>
    <row r="32">
      <c r="A32" s="21" t="inlineStr">
        <is>
          <t>Electricity (if not site-covered)</t>
        </is>
      </c>
      <c r="B32" s="22" t="n">
        <v>0</v>
      </c>
      <c r="D32" s="7">
        <f>B32*$B$2</f>
        <v/>
      </c>
    </row>
    <row r="33">
      <c r="A33" s="21" t="inlineStr">
        <is>
          <t>Maintenance/Repairs Fund</t>
        </is>
      </c>
      <c r="B33" s="22" t="n">
        <v>30</v>
      </c>
      <c r="D33" s="7">
        <f>B33*$B$2</f>
        <v/>
      </c>
    </row>
    <row r="34">
      <c r="A34" s="21" t="inlineStr">
        <is>
          <t>Accountant (pro-rata monthly)</t>
        </is>
      </c>
      <c r="B34" s="7" t="n">
        <v>50</v>
      </c>
      <c r="D34" s="7">
        <f>B34*$B$2</f>
        <v/>
      </c>
    </row>
    <row r="35">
      <c r="A35" s="21" t="inlineStr">
        <is>
          <t>Misc/Phone/Admin</t>
        </is>
      </c>
      <c r="B35" s="7" t="n">
        <v>20</v>
      </c>
      <c r="D35" s="7">
        <f>B35</f>
        <v/>
      </c>
    </row>
    <row r="36">
      <c r="A36" s="5" t="inlineStr">
        <is>
          <t>Total Monthly Opex</t>
        </is>
      </c>
      <c r="D36" s="23">
        <f>SUM(D27:D35)</f>
        <v/>
      </c>
    </row>
    <row r="38">
      <c r="A38" s="3" t="inlineStr">
        <is>
          <t>SUMMARY</t>
        </is>
      </c>
      <c r="B38" s="4" t="n"/>
      <c r="C38" s="4" t="n"/>
      <c r="D38" s="4" t="n"/>
    </row>
    <row r="39">
      <c r="A39" s="5" t="inlineStr">
        <is>
          <t>Total Upfront Investment</t>
        </is>
      </c>
      <c r="D39" s="23">
        <f>D11+D24</f>
        <v/>
      </c>
    </row>
    <row r="40">
      <c r="A40" s="5" t="inlineStr">
        <is>
          <t>Monthly Operating Cost</t>
        </is>
      </c>
      <c r="D40" s="23">
        <f>D36</f>
        <v/>
      </c>
    </row>
    <row r="41">
      <c r="A41" s="5" t="inlineStr">
        <is>
          <t>Est. Monthly Revenue per Machine</t>
        </is>
      </c>
      <c r="B41" s="22" t="n">
        <v>2000</v>
      </c>
      <c r="D41" s="23">
        <f>B41*$B$2</f>
        <v/>
      </c>
    </row>
    <row r="42">
      <c r="A42" s="5" t="inlineStr">
        <is>
          <t>Est. Monthly Revenue Total</t>
        </is>
      </c>
      <c r="D42" s="23">
        <f>D41</f>
        <v/>
      </c>
    </row>
    <row r="43">
      <c r="A43" s="5" t="inlineStr">
        <is>
          <t>Est. Monthly Profit</t>
        </is>
      </c>
      <c r="D43" s="23">
        <f>D42-D40</f>
        <v/>
      </c>
    </row>
    <row r="44">
      <c r="A44" s="5" t="inlineStr">
        <is>
          <t>Months to Breakeven</t>
        </is>
      </c>
      <c r="D44" s="8">
        <f>D39/D43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18" customWidth="1" min="4" max="4"/>
    <col width="30" customWidth="1" min="5" max="5"/>
  </cols>
  <sheetData>
    <row r="1">
      <c r="A1" s="17" t="inlineStr">
        <is>
          <t>MICRO-MARKET / HONESTY SHOP CALCULATOR</t>
        </is>
      </c>
    </row>
    <row r="2">
      <c r="A2" s="18" t="inlineStr">
        <is>
          <t>Number of sites:</t>
        </is>
      </c>
      <c r="B2" s="19" t="n">
        <v>2</v>
      </c>
      <c r="C2" t="inlineStr">
        <is>
          <t>sites</t>
        </is>
      </c>
    </row>
    <row r="4">
      <c r="A4" s="3" t="inlineStr">
        <is>
          <t>CAPITAL COSTS (PER SITE)</t>
        </is>
      </c>
      <c r="B4" s="20" t="inlineStr">
        <is>
          <t>Per Site (£)</t>
        </is>
      </c>
      <c r="C4" s="20" t="inlineStr">
        <is>
          <t>Quantity</t>
        </is>
      </c>
      <c r="D4" s="20" t="inlineStr">
        <is>
          <t>Total (£)</t>
        </is>
      </c>
    </row>
    <row r="5">
      <c r="A5" s="21" t="inlineStr">
        <is>
          <t>Commercial Fridge (undercounter/upright)</t>
        </is>
      </c>
      <c r="B5" s="22" t="n">
        <v>350</v>
      </c>
      <c r="C5" s="21">
        <f>$B$2</f>
        <v/>
      </c>
      <c r="D5" s="7">
        <f>B5*C5</f>
        <v/>
      </c>
      <c r="E5" s="24" t="inlineStr">
        <is>
          <t>Argos/Amazon Business</t>
        </is>
      </c>
    </row>
    <row r="6">
      <c r="A6" s="21" t="inlineStr">
        <is>
          <t>Shelving Unit</t>
        </is>
      </c>
      <c r="B6" s="22" t="n">
        <v>100</v>
      </c>
      <c r="C6" s="21">
        <f>$B$2</f>
        <v/>
      </c>
      <c r="D6" s="7">
        <f>B6*C6</f>
        <v/>
      </c>
      <c r="E6" s="24" t="inlineStr">
        <is>
          <t>Freestanding or wall-mounted</t>
        </is>
      </c>
    </row>
    <row r="7">
      <c r="A7" s="21" t="inlineStr">
        <is>
          <t>Payment Terminal (scanner/card reader)</t>
        </is>
      </c>
      <c r="B7" s="22" t="n">
        <v>400</v>
      </c>
      <c r="C7" s="21">
        <f>$B$2</f>
        <v/>
      </c>
      <c r="D7" s="7">
        <f>B7*C7</f>
        <v/>
      </c>
      <c r="E7" s="24" t="inlineStr">
        <is>
          <t>SumUp Kiosk / Nayax / PayPoint — TBC</t>
        </is>
      </c>
    </row>
    <row r="8">
      <c r="A8" s="21" t="inlineStr">
        <is>
          <t>VAT on Equipment</t>
        </is>
      </c>
      <c r="B8" s="7">
        <f>SUM(B5:B7)*0.2</f>
        <v/>
      </c>
      <c r="C8" s="21">
        <f>$B$2</f>
        <v/>
      </c>
      <c r="D8" s="7">
        <f>B8*C8</f>
        <v/>
      </c>
      <c r="E8" s="24" t="inlineStr">
        <is>
          <t>20% on above</t>
        </is>
      </c>
    </row>
    <row r="9">
      <c r="A9" s="21" t="inlineStr">
        <is>
          <t>Signage &amp; Branding</t>
        </is>
      </c>
      <c r="B9" s="22" t="n">
        <v>100</v>
      </c>
      <c r="C9" s="21">
        <f>$B$2</f>
        <v/>
      </c>
      <c r="D9" s="7">
        <f>B9*C9</f>
        <v/>
      </c>
      <c r="E9" s="24" t="inlineStr">
        <is>
          <t>Price labels, branding board</t>
        </is>
      </c>
    </row>
    <row r="10">
      <c r="A10" s="21" t="inlineStr">
        <is>
          <t>Initial Stock Fill</t>
        </is>
      </c>
      <c r="B10" s="22" t="n">
        <v>250</v>
      </c>
      <c r="C10" s="21">
        <f>$B$2</f>
        <v/>
      </c>
      <c r="D10" s="7">
        <f>B10*C10</f>
        <v/>
      </c>
      <c r="E10" s="24" t="inlineStr">
        <is>
          <t>Wider range than vending</t>
        </is>
      </c>
    </row>
    <row r="11">
      <c r="A11" s="5" t="inlineStr">
        <is>
          <t>Subtotal Capital</t>
        </is>
      </c>
      <c r="D11" s="23">
        <f>SUM(D5:D10)</f>
        <v/>
      </c>
    </row>
    <row r="13">
      <c r="A13" s="3" t="inlineStr">
        <is>
          <t>SETUP COSTS (ONE-OFF)</t>
        </is>
      </c>
      <c r="B13" s="20" t="inlineStr">
        <is>
          <t>Cost (£)</t>
        </is>
      </c>
      <c r="C13" s="20" t="inlineStr">
        <is>
          <t>Qty</t>
        </is>
      </c>
      <c r="D13" s="20" t="inlineStr">
        <is>
          <t>Total (£)</t>
        </is>
      </c>
    </row>
    <row r="14">
      <c r="A14" s="21" t="inlineStr">
        <is>
          <t>Company Registration (Ltd)</t>
        </is>
      </c>
      <c r="B14" s="22" t="n">
        <v>50</v>
      </c>
      <c r="C14" s="21" t="n">
        <v>1</v>
      </c>
      <c r="D14" s="7">
        <f>B14*C14</f>
        <v/>
      </c>
      <c r="E14" s="24" t="inlineStr">
        <is>
          <t>Shared with vending if same entity</t>
        </is>
      </c>
    </row>
    <row r="15">
      <c r="A15" s="21" t="inlineStr">
        <is>
          <t>Food Business Registration</t>
        </is>
      </c>
      <c r="B15" s="22" t="n">
        <v>0</v>
      </c>
      <c r="C15" s="21" t="n">
        <v>1</v>
      </c>
      <c r="D15" s="7">
        <f>B15*C15</f>
        <v/>
      </c>
      <c r="E15" s="24" t="inlineStr">
        <is>
          <t>Free, local council</t>
        </is>
      </c>
    </row>
    <row r="16">
      <c r="A16" s="21" t="inlineStr">
        <is>
          <t>Food Hygiene Certificate</t>
        </is>
      </c>
      <c r="B16" s="22" t="n">
        <v>150</v>
      </c>
      <c r="C16" s="21" t="n">
        <v>1</v>
      </c>
      <c r="D16" s="7">
        <f>B16*C16</f>
        <v/>
      </c>
      <c r="E16" s="24" t="inlineStr">
        <is>
          <t>Level 2 online course</t>
        </is>
      </c>
    </row>
    <row r="17">
      <c r="A17" s="21" t="inlineStr">
        <is>
          <t>Public Liability Insurance (annual)</t>
        </is>
      </c>
      <c r="B17" s="22" t="n">
        <v>200</v>
      </c>
      <c r="C17" s="21" t="n">
        <v>1</v>
      </c>
      <c r="D17" s="7">
        <f>B17*C17</f>
        <v/>
      </c>
      <c r="E17" s="24" t="inlineStr">
        <is>
          <t>May be higher for open shelving</t>
        </is>
      </c>
    </row>
    <row r="18">
      <c r="A18" s="21" t="inlineStr">
        <is>
          <t>Product Liability Insurance (annual)</t>
        </is>
      </c>
      <c r="B18" s="22" t="n">
        <v>100</v>
      </c>
      <c r="C18" s="21" t="n">
        <v>1</v>
      </c>
      <c r="D18" s="7">
        <f>B18*C18</f>
        <v/>
      </c>
      <c r="E18" s="24" t="inlineStr">
        <is>
          <t>Covers consumed products</t>
        </is>
      </c>
    </row>
    <row r="19">
      <c r="A19" s="21" t="inlineStr">
        <is>
          <t>Printed Materials</t>
        </is>
      </c>
      <c r="B19" s="22" t="n">
        <v>75</v>
      </c>
      <c r="C19" s="21" t="n">
        <v>1</v>
      </c>
      <c r="D19" s="7">
        <f>B19*C19</f>
        <v/>
      </c>
      <c r="E19" s="24" t="inlineStr">
        <is>
          <t>Leaflets for site pitching</t>
        </is>
      </c>
    </row>
    <row r="20">
      <c r="A20" s="21" t="inlineStr">
        <is>
          <t>Customer Acquisition (time/fuel)</t>
        </is>
      </c>
      <c r="B20" s="22" t="n">
        <v>100</v>
      </c>
      <c r="C20" s="21">
        <f>$B$2</f>
        <v/>
      </c>
      <c r="D20" s="7">
        <f>B20*C20</f>
        <v/>
      </c>
      <c r="E20" s="24" t="inlineStr">
        <is>
          <t>Per site placed</t>
        </is>
      </c>
    </row>
    <row r="21">
      <c r="A21" s="5" t="inlineStr">
        <is>
          <t>Subtotal Setup</t>
        </is>
      </c>
      <c r="D21" s="23">
        <f>SUM(D14:D20)</f>
        <v/>
      </c>
    </row>
    <row r="23">
      <c r="A23" s="3" t="inlineStr">
        <is>
          <t>MONTHLY OPERATING COSTS</t>
        </is>
      </c>
      <c r="B23" s="20" t="inlineStr">
        <is>
          <t>Per Site/Month (£)</t>
        </is>
      </c>
      <c r="C23" s="4" t="n"/>
      <c r="D23" s="20" t="inlineStr">
        <is>
          <t>Total/Month (£)</t>
        </is>
      </c>
    </row>
    <row r="24">
      <c r="A24" s="21" t="inlineStr">
        <is>
          <t>Payment Terminal Fee</t>
        </is>
      </c>
      <c r="B24" s="7" t="n">
        <v>10</v>
      </c>
      <c r="D24" s="7">
        <f>B24*$B$2</f>
        <v/>
      </c>
      <c r="E24" s="24" t="inlineStr">
        <is>
          <t>Monthly subscription</t>
        </is>
      </c>
    </row>
    <row r="25">
      <c r="A25" s="21" t="inlineStr">
        <is>
          <t>Site Rent / Commission</t>
        </is>
      </c>
      <c r="B25" s="22" t="n">
        <v>75</v>
      </c>
      <c r="D25" s="7">
        <f>B25*$B$2</f>
        <v/>
      </c>
      <c r="E25" s="24" t="inlineStr">
        <is>
          <t>Often lower than vending — you supply product</t>
        </is>
      </c>
    </row>
    <row r="26">
      <c r="A26" s="21" t="inlineStr">
        <is>
          <t>Stock Replenishment</t>
        </is>
      </c>
      <c r="B26" s="22" t="n">
        <v>500</v>
      </c>
      <c r="D26" s="7">
        <f>B26*$B$2</f>
        <v/>
      </c>
      <c r="E26" s="24" t="inlineStr">
        <is>
          <t>Higher volume, wider range</t>
        </is>
      </c>
    </row>
    <row r="27">
      <c r="A27" s="21" t="inlineStr">
        <is>
          <t>Shrinkage Budget (3-5%)</t>
        </is>
      </c>
      <c r="B27" s="7">
        <f>B26*0.04</f>
        <v/>
      </c>
      <c r="D27" s="7">
        <f>B27*$B$2</f>
        <v/>
      </c>
      <c r="E27" s="24">
        <f>stock * shrinkage rate</f>
        <v/>
      </c>
    </row>
    <row r="28">
      <c r="A28" s="21" t="inlineStr">
        <is>
          <t>Travel/Fuel</t>
        </is>
      </c>
      <c r="B28" s="22" t="n">
        <v>60</v>
      </c>
      <c r="D28" s="7">
        <f>B28*$B$2</f>
        <v/>
      </c>
      <c r="E28" s="24" t="inlineStr">
        <is>
          <t>Faster restock = fewer visits</t>
        </is>
      </c>
    </row>
    <row r="29">
      <c r="A29" s="21" t="inlineStr">
        <is>
          <t>Waste/Spoilage (fresh food)</t>
        </is>
      </c>
      <c r="B29" s="22" t="n">
        <v>30</v>
      </c>
      <c r="D29" s="7">
        <f>B29*$B$2</f>
        <v/>
      </c>
      <c r="E29" s="24" t="inlineStr">
        <is>
          <t>Set to 0 if no fresh items</t>
        </is>
      </c>
    </row>
    <row r="30">
      <c r="A30" s="21" t="inlineStr">
        <is>
          <t>Accountant (pro-rata monthly)</t>
        </is>
      </c>
      <c r="B30" s="7" t="n">
        <v>50</v>
      </c>
      <c r="D30" s="7">
        <f>B30</f>
        <v/>
      </c>
      <c r="E30" s="24" t="inlineStr">
        <is>
          <t>Shared with vending if same entity</t>
        </is>
      </c>
    </row>
    <row r="31">
      <c r="A31" s="21" t="inlineStr">
        <is>
          <t>Misc/Phone/Admin</t>
        </is>
      </c>
      <c r="B31" s="7" t="n">
        <v>20</v>
      </c>
      <c r="D31" s="7">
        <f>B31</f>
        <v/>
      </c>
    </row>
    <row r="32">
      <c r="A32" s="5" t="inlineStr">
        <is>
          <t>Total Monthly Opex</t>
        </is>
      </c>
      <c r="D32" s="23">
        <f>SUM(D24:D31)</f>
        <v/>
      </c>
    </row>
    <row r="34">
      <c r="A34" s="3" t="inlineStr">
        <is>
          <t>SUMMARY</t>
        </is>
      </c>
      <c r="B34" s="4" t="n"/>
      <c r="C34" s="4" t="n"/>
      <c r="D34" s="4" t="n"/>
    </row>
    <row r="35">
      <c r="A35" s="5" t="inlineStr">
        <is>
          <t>Total Upfront Investment</t>
        </is>
      </c>
      <c r="D35" s="23">
        <f>D11+D21</f>
        <v/>
      </c>
    </row>
    <row r="36">
      <c r="A36" s="5" t="inlineStr">
        <is>
          <t>Monthly Operating Cost</t>
        </is>
      </c>
      <c r="D36" s="23">
        <f>D32</f>
        <v/>
      </c>
    </row>
    <row r="37">
      <c r="A37" s="5" t="inlineStr">
        <is>
          <t>Est. Monthly Revenue per Site</t>
        </is>
      </c>
      <c r="B37" s="22" t="n">
        <v>2500</v>
      </c>
      <c r="D37" s="23">
        <f>B37*$B$2</f>
        <v/>
      </c>
      <c r="E37" s="24" t="inlineStr">
        <is>
          <t>Higher avg basket than vending</t>
        </is>
      </c>
    </row>
    <row r="38">
      <c r="A38" s="5" t="inlineStr">
        <is>
          <t>Est. Monthly Revenue Total</t>
        </is>
      </c>
      <c r="D38" s="23">
        <f>D37</f>
        <v/>
      </c>
    </row>
    <row r="39">
      <c r="A39" s="5" t="inlineStr">
        <is>
          <t>Est. Monthly Profit</t>
        </is>
      </c>
      <c r="D39" s="23">
        <f>D38-D36</f>
        <v/>
      </c>
    </row>
    <row r="40">
      <c r="A40" s="5" t="inlineStr">
        <is>
          <t>Months to Breakeven</t>
        </is>
      </c>
      <c r="D40" s="25">
        <f>D35/D39</f>
        <v/>
      </c>
    </row>
    <row r="42">
      <c r="A42" s="26" t="inlineStr">
        <is>
          <t>VS VENDING (from Startup Costs sheet)</t>
        </is>
      </c>
      <c r="B42" s="27" t="n"/>
      <c r="C42" s="27" t="n"/>
      <c r="D42" s="27" t="n"/>
    </row>
    <row r="43">
      <c r="A43" t="inlineStr">
        <is>
          <t>Vending: Upfront Investment</t>
        </is>
      </c>
      <c r="D43" s="10">
        <f>'Startup Costs'!D39</f>
        <v/>
      </c>
    </row>
    <row r="44">
      <c r="A44" t="inlineStr">
        <is>
          <t>Micro-Market: Upfront Investment</t>
        </is>
      </c>
      <c r="D44" s="10">
        <f>D35</f>
        <v/>
      </c>
    </row>
    <row r="45">
      <c r="A45" s="18" t="inlineStr">
        <is>
          <t>Capital Saving</t>
        </is>
      </c>
      <c r="D45" s="28">
        <f>D43-D44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6" customWidth="1" min="4" max="4"/>
    <col width="18" customWidth="1" min="5" max="5"/>
    <col width="18" customWidth="1" min="6" max="6"/>
    <col width="16" customWidth="1" min="7" max="7"/>
    <col width="24" customWidth="1" min="8" max="8"/>
    <col width="16" customWidth="1" min="9" max="9"/>
    <col width="16" customWidth="1" min="10" max="10"/>
    <col width="16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22" customWidth="1" min="17" max="17"/>
    <col width="18" customWidth="1" min="18" max="18"/>
    <col width="14" customWidth="1" min="19" max="19"/>
    <col width="20" customWidth="1" min="20" max="20"/>
    <col width="12" customWidth="1" min="21" max="21"/>
    <col width="30" customWidth="1" min="22" max="22"/>
  </cols>
  <sheetData>
    <row r="1">
      <c r="A1" s="11" t="inlineStr">
        <is>
          <t>Site Name</t>
        </is>
      </c>
      <c r="B1" s="11" t="inlineStr">
        <is>
          <t>Address</t>
        </is>
      </c>
      <c r="C1" s="11" t="inlineStr">
        <is>
          <t>Postcode</t>
        </is>
      </c>
      <c r="D1" s="11" t="inlineStr">
        <is>
          <t>Borough</t>
        </is>
      </c>
      <c r="E1" s="11" t="inlineStr">
        <is>
          <t>Site Type</t>
        </is>
      </c>
      <c r="F1" s="11" t="inlineStr">
        <is>
          <t>Contact Name</t>
        </is>
      </c>
      <c r="G1" s="11" t="inlineStr">
        <is>
          <t>Contact Phone</t>
        </is>
      </c>
      <c r="H1" s="11" t="inlineStr">
        <is>
          <t>Contact Email</t>
        </is>
      </c>
      <c r="I1" s="11" t="inlineStr">
        <is>
          <t>First Contact Date</t>
        </is>
      </c>
      <c r="J1" s="11" t="inlineStr">
        <is>
          <t>Status</t>
        </is>
      </c>
      <c r="K1" s="11" t="inlineStr">
        <is>
          <t>Est. Daily Footfall</t>
        </is>
      </c>
      <c r="L1" s="11" t="inlineStr">
        <is>
          <t>Existing Vending</t>
        </is>
      </c>
      <c r="M1" s="11" t="inlineStr">
        <is>
          <t>Current Provider</t>
        </is>
      </c>
      <c r="N1" s="11" t="inlineStr">
        <is>
          <t>Contract Expiry</t>
        </is>
      </c>
      <c r="O1" s="11" t="inlineStr">
        <is>
          <t>Space Available</t>
        </is>
      </c>
      <c r="P1" s="11" t="inlineStr">
        <is>
          <t>Power Supply Nearby</t>
        </is>
      </c>
      <c r="Q1" s="11" t="inlineStr">
        <is>
          <t>Proposed Deal Structure</t>
        </is>
      </c>
      <c r="R1" s="11" t="inlineStr">
        <is>
          <t>Est. Monthly Rent (£)</t>
        </is>
      </c>
      <c r="S1" s="11" t="inlineStr">
        <is>
          <t>Revenue Share (%)</t>
        </is>
      </c>
      <c r="T1" s="11" t="inlineStr">
        <is>
          <t>Est. Weekly Revenue (£)</t>
        </is>
      </c>
      <c r="U1" s="11" t="inlineStr">
        <is>
          <t>Score (1-10)</t>
        </is>
      </c>
      <c r="V1" s="11" t="inlineStr">
        <is>
          <t>Notes</t>
        </is>
      </c>
    </row>
  </sheetData>
  <conditionalFormatting sqref="J2:J200">
    <cfRule type="cellIs" priority="1" operator="equal" dxfId="0">
      <formula>"Agreed"</formula>
    </cfRule>
    <cfRule type="cellIs" priority="2" operator="equal" dxfId="1">
      <formula>"Rejected"</formula>
    </cfRule>
    <cfRule type="cellIs" priority="3" operator="equal" dxfId="2">
      <formula>"Negotiating"</formula>
    </cfRule>
    <cfRule type="cellIs" priority="4" operator="equal" dxfId="3">
      <formula>"Lead"</formula>
    </cfRule>
  </conditionalFormatting>
  <dataValidations count="5">
    <dataValidation sqref="E2:E200" showDropDown="0" showInputMessage="0" showErrorMessage="0" allowBlank="1" errorTitle="Invalid Entry" error="Please select from the dropdown list" type="list">
      <formula1>"Office,Gym,Leisure Centre,Education,Hospital/Healthcare,Retail,Residential,Industrial/Warehouse,Transport Hub,Other"</formula1>
    </dataValidation>
    <dataValidation sqref="J2:J200" showDropDown="0" showInputMessage="0" showErrorMessage="0" allowBlank="1" errorTitle="Invalid Entry" error="Please select from the dropdown list" type="list">
      <formula1>"Lead,Contacted,Meeting Booked,Negotiating,Agreed,Rejected,On Hold"</formula1>
    </dataValidation>
    <dataValidation sqref="L2:L200" showDropDown="0" showInputMessage="0" showErrorMessage="0" allowBlank="1" errorTitle="Invalid Entry" error="Please select from the dropdown list" type="list">
      <formula1>"Yes,No,Unknown"</formula1>
    </dataValidation>
    <dataValidation sqref="O2:O200" showDropDown="0" showInputMessage="0" showErrorMessage="0" allowBlank="1" errorTitle="Invalid Entry" error="Please select from the dropdown list" type="list">
      <formula1>"Yes,No,TBC"</formula1>
    </dataValidation>
    <dataValidation sqref="P2:P200" showDropDown="0" showInputMessage="0" showErrorMessage="0" allowBlank="1" errorTitle="Invalid Entry" error="Please select from the dropdown list" type="list">
      <formula1>"Yes,No,TBC"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>
      <c r="A1" s="18" t="inlineStr">
        <is>
          <t>Machine ID:</t>
        </is>
      </c>
      <c r="B1" s="19" t="n"/>
    </row>
    <row r="2">
      <c r="A2" s="18" t="inlineStr">
        <is>
          <t>Location:</t>
        </is>
      </c>
      <c r="B2" s="19" t="n"/>
    </row>
    <row r="3">
      <c r="A3" s="18" t="inlineStr">
        <is>
          <t>Week Commencing:</t>
        </is>
      </c>
      <c r="B3" s="29" t="n"/>
    </row>
    <row r="5">
      <c r="A5" s="11" t="inlineStr">
        <is>
          <t>Day</t>
        </is>
      </c>
      <c r="B5" s="11" t="inlineStr">
        <is>
          <t>Cash Revenue (£)</t>
        </is>
      </c>
      <c r="C5" s="11" t="inlineStr">
        <is>
          <t>Card Revenue (£)</t>
        </is>
      </c>
      <c r="D5" s="11" t="inlineStr">
        <is>
          <t>Total Revenue (£)</t>
        </is>
      </c>
      <c r="E5" s="11" t="inlineStr">
        <is>
          <t>Units Sold (Cash)</t>
        </is>
      </c>
      <c r="F5" s="11" t="inlineStr">
        <is>
          <t>Units Sold (Card)</t>
        </is>
      </c>
      <c r="G5" s="11" t="inlineStr">
        <is>
          <t>Total Units</t>
        </is>
      </c>
      <c r="H5" s="11" t="inlineStr">
        <is>
          <t>Avg Vend Price (£)</t>
        </is>
      </c>
    </row>
    <row r="6">
      <c r="A6" t="inlineStr">
        <is>
          <t>Monday</t>
        </is>
      </c>
      <c r="B6" s="30" t="n"/>
      <c r="C6" s="30" t="n"/>
      <c r="D6" s="14">
        <f>B6+C6</f>
        <v/>
      </c>
      <c r="E6" s="19" t="n"/>
      <c r="F6" s="19" t="n"/>
      <c r="G6">
        <f>E6+F6</f>
        <v/>
      </c>
      <c r="H6" s="14">
        <f>IF(G6=0,"",D6/G6)</f>
        <v/>
      </c>
    </row>
    <row r="7">
      <c r="A7" t="inlineStr">
        <is>
          <t>Tuesday</t>
        </is>
      </c>
      <c r="B7" s="30" t="n"/>
      <c r="C7" s="30" t="n"/>
      <c r="D7" s="14">
        <f>B7+C7</f>
        <v/>
      </c>
      <c r="E7" s="19" t="n"/>
      <c r="F7" s="19" t="n"/>
      <c r="G7">
        <f>E7+F7</f>
        <v/>
      </c>
      <c r="H7" s="14">
        <f>IF(G7=0,"",D7/G7)</f>
        <v/>
      </c>
    </row>
    <row r="8">
      <c r="A8" t="inlineStr">
        <is>
          <t>Wednesday</t>
        </is>
      </c>
      <c r="B8" s="30" t="n"/>
      <c r="C8" s="30" t="n"/>
      <c r="D8" s="14">
        <f>B8+C8</f>
        <v/>
      </c>
      <c r="E8" s="19" t="n"/>
      <c r="F8" s="19" t="n"/>
      <c r="G8">
        <f>E8+F8</f>
        <v/>
      </c>
      <c r="H8" s="14">
        <f>IF(G8=0,"",D8/G8)</f>
        <v/>
      </c>
    </row>
    <row r="9">
      <c r="A9" t="inlineStr">
        <is>
          <t>Thursday</t>
        </is>
      </c>
      <c r="B9" s="30" t="n"/>
      <c r="C9" s="30" t="n"/>
      <c r="D9" s="14">
        <f>B9+C9</f>
        <v/>
      </c>
      <c r="E9" s="19" t="n"/>
      <c r="F9" s="19" t="n"/>
      <c r="G9">
        <f>E9+F9</f>
        <v/>
      </c>
      <c r="H9" s="14">
        <f>IF(G9=0,"",D9/G9)</f>
        <v/>
      </c>
    </row>
    <row r="10">
      <c r="A10" t="inlineStr">
        <is>
          <t>Friday</t>
        </is>
      </c>
      <c r="B10" s="30" t="n"/>
      <c r="C10" s="30" t="n"/>
      <c r="D10" s="14">
        <f>B10+C10</f>
        <v/>
      </c>
      <c r="E10" s="19" t="n"/>
      <c r="F10" s="19" t="n"/>
      <c r="G10">
        <f>E10+F10</f>
        <v/>
      </c>
      <c r="H10" s="14">
        <f>IF(G10=0,"",D10/G10)</f>
        <v/>
      </c>
    </row>
    <row r="11">
      <c r="A11" t="inlineStr">
        <is>
          <t>Saturday</t>
        </is>
      </c>
      <c r="B11" s="30" t="n"/>
      <c r="C11" s="30" t="n"/>
      <c r="D11" s="14">
        <f>B11+C11</f>
        <v/>
      </c>
      <c r="E11" s="19" t="n"/>
      <c r="F11" s="19" t="n"/>
      <c r="G11">
        <f>E11+F11</f>
        <v/>
      </c>
      <c r="H11" s="14">
        <f>IF(G11=0,"",D11/G11)</f>
        <v/>
      </c>
    </row>
    <row r="12">
      <c r="A12" t="inlineStr">
        <is>
          <t>Sunday</t>
        </is>
      </c>
      <c r="B12" s="30" t="n"/>
      <c r="C12" s="30" t="n"/>
      <c r="D12" s="14">
        <f>B12+C12</f>
        <v/>
      </c>
      <c r="E12" s="19" t="n"/>
      <c r="F12" s="19" t="n"/>
      <c r="G12">
        <f>E12+F12</f>
        <v/>
      </c>
      <c r="H12" s="14">
        <f>IF(G12=0,"",D12/G12)</f>
        <v/>
      </c>
    </row>
    <row r="13">
      <c r="A13" s="18" t="inlineStr">
        <is>
          <t>WEEK TOTAL</t>
        </is>
      </c>
      <c r="B13" s="31">
        <f>SUM(B6:B12)</f>
        <v/>
      </c>
      <c r="C13" s="31">
        <f>SUM(C6:C12)</f>
        <v/>
      </c>
      <c r="D13" s="31">
        <f>SUM(D6:D12)</f>
        <v/>
      </c>
      <c r="E13" s="18">
        <f>SUM(E6:E12)</f>
        <v/>
      </c>
      <c r="F13" s="18">
        <f>SUM(F6:F12)</f>
        <v/>
      </c>
      <c r="G13" s="18">
        <f>SUM(G6:G12)</f>
        <v/>
      </c>
      <c r="H13" s="31">
        <f>IF(G13=0,"",D13/G13)</f>
        <v/>
      </c>
    </row>
    <row r="15">
      <c r="A15" s="3" t="inlineStr">
        <is>
          <t>COSTS</t>
        </is>
      </c>
      <c r="B15" s="20" t="inlineStr">
        <is>
          <t>Amount (£)</t>
        </is>
      </c>
    </row>
    <row r="16">
      <c r="A16" s="21" t="inlineStr">
        <is>
          <t>Stock Purchased</t>
        </is>
      </c>
      <c r="B16" s="32" t="n"/>
    </row>
    <row r="17">
      <c r="A17" s="21" t="inlineStr">
        <is>
          <t>Card Processing Fees</t>
        </is>
      </c>
      <c r="B17" s="33">
        <f>SUM(C6:C12)*0.029</f>
        <v/>
      </c>
    </row>
    <row r="18">
      <c r="A18" s="21" t="inlineStr">
        <is>
          <t>Nayax Monthly (pro-rata weekly)</t>
        </is>
      </c>
      <c r="B18" s="33">
        <f>10/4.33</f>
        <v/>
      </c>
    </row>
    <row r="19">
      <c r="A19" s="21" t="inlineStr">
        <is>
          <t>Site Rent (pro-rata weekly)</t>
        </is>
      </c>
      <c r="B19" s="32" t="n"/>
    </row>
    <row r="20">
      <c r="A20" s="21" t="inlineStr">
        <is>
          <t>Travel/Fuel</t>
        </is>
      </c>
      <c r="B20" s="32" t="n"/>
    </row>
    <row r="21">
      <c r="A21" s="21" t="inlineStr">
        <is>
          <t>Other</t>
        </is>
      </c>
      <c r="B21" s="32" t="n"/>
    </row>
    <row r="22">
      <c r="A22" s="5" t="inlineStr">
        <is>
          <t>Total Costs</t>
        </is>
      </c>
      <c r="B22" s="34">
        <f>SUM(B16:B21)</f>
        <v/>
      </c>
    </row>
    <row r="24">
      <c r="A24" s="3" t="inlineStr">
        <is>
          <t>WEEKLY SUMMARY</t>
        </is>
      </c>
      <c r="B24" s="4" t="n"/>
    </row>
    <row r="25">
      <c r="A25" s="18" t="inlineStr">
        <is>
          <t>Gross Revenue</t>
        </is>
      </c>
      <c r="B25" s="31">
        <f>D13</f>
        <v/>
      </c>
    </row>
    <row r="26">
      <c r="A26" s="18" t="inlineStr">
        <is>
          <t>Total Costs</t>
        </is>
      </c>
      <c r="B26" s="31">
        <f>B22</f>
        <v/>
      </c>
    </row>
    <row r="27">
      <c r="A27" s="18" t="inlineStr">
        <is>
          <t>Net Profit</t>
        </is>
      </c>
      <c r="B27" s="31">
        <f>B25-B26</f>
        <v/>
      </c>
    </row>
    <row r="28">
      <c r="A28" s="18" t="inlineStr">
        <is>
          <t>Gross Margin %</t>
        </is>
      </c>
      <c r="B28" s="35">
        <f>IF(B25=0,"",(B25-B16)/B25)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2" customWidth="1" min="4" max="4"/>
    <col width="14" customWidth="1" min="5" max="5"/>
    <col width="14" customWidth="1" min="6" max="6"/>
    <col width="36" customWidth="1" min="7" max="7"/>
    <col width="30" customWidth="1" min="8" max="8"/>
    <col width="14" customWidth="1" min="9" max="9"/>
  </cols>
  <sheetData>
    <row r="1">
      <c r="A1" s="17" t="inlineStr">
        <is>
          <t>RESTOCK &amp; VISIT LOG</t>
        </is>
      </c>
    </row>
    <row r="2">
      <c r="A2" s="11" t="inlineStr">
        <is>
          <t>Date</t>
        </is>
      </c>
      <c r="B2" s="11" t="inlineStr">
        <is>
          <t>Machine/Site ID</t>
        </is>
      </c>
      <c r="C2" s="11" t="inlineStr">
        <is>
          <t>Location</t>
        </is>
      </c>
      <c r="D2" s="11" t="inlineStr">
        <is>
          <t>Visit Type</t>
        </is>
      </c>
      <c r="E2" s="11" t="inlineStr">
        <is>
          <t>Time Spent (min)</t>
        </is>
      </c>
      <c r="F2" s="11" t="inlineStr">
        <is>
          <t>Mileage</t>
        </is>
      </c>
      <c r="G2" s="11" t="inlineStr">
        <is>
          <t>Items Restocked (summary)</t>
        </is>
      </c>
      <c r="H2" s="11" t="inlineStr">
        <is>
          <t>Issues Found</t>
        </is>
      </c>
      <c r="I2" s="11" t="inlineStr">
        <is>
          <t>Cost of Stock (£)</t>
        </is>
      </c>
    </row>
    <row r="3">
      <c r="A3" s="36" t="n"/>
      <c r="B3" s="16" t="n"/>
      <c r="C3" s="16" t="n"/>
      <c r="D3" s="16" t="n"/>
      <c r="E3" s="37" t="n"/>
      <c r="F3" s="38" t="n"/>
      <c r="G3" s="16" t="n"/>
      <c r="H3" s="16" t="n"/>
      <c r="I3" s="13" t="n"/>
    </row>
    <row r="4">
      <c r="A4" s="36" t="n"/>
      <c r="B4" s="16" t="n"/>
      <c r="C4" s="16" t="n"/>
      <c r="D4" s="16" t="n"/>
      <c r="E4" s="37" t="n"/>
      <c r="F4" s="38" t="n"/>
      <c r="G4" s="16" t="n"/>
      <c r="H4" s="16" t="n"/>
      <c r="I4" s="13" t="n"/>
    </row>
    <row r="5">
      <c r="A5" s="36" t="n"/>
      <c r="B5" s="16" t="n"/>
      <c r="C5" s="16" t="n"/>
      <c r="D5" s="16" t="n"/>
      <c r="E5" s="37" t="n"/>
      <c r="F5" s="38" t="n"/>
      <c r="G5" s="16" t="n"/>
      <c r="H5" s="16" t="n"/>
      <c r="I5" s="13" t="n"/>
    </row>
    <row r="6">
      <c r="A6" s="36" t="n"/>
      <c r="B6" s="16" t="n"/>
      <c r="C6" s="16" t="n"/>
      <c r="D6" s="16" t="n"/>
      <c r="E6" s="37" t="n"/>
      <c r="F6" s="38" t="n"/>
      <c r="G6" s="16" t="n"/>
      <c r="H6" s="16" t="n"/>
      <c r="I6" s="13" t="n"/>
    </row>
    <row r="7">
      <c r="A7" s="36" t="n"/>
      <c r="B7" s="16" t="n"/>
      <c r="C7" s="16" t="n"/>
      <c r="D7" s="16" t="n"/>
      <c r="E7" s="37" t="n"/>
      <c r="F7" s="38" t="n"/>
      <c r="G7" s="16" t="n"/>
      <c r="H7" s="16" t="n"/>
      <c r="I7" s="13" t="n"/>
    </row>
    <row r="8">
      <c r="A8" s="36" t="n"/>
      <c r="B8" s="16" t="n"/>
      <c r="C8" s="16" t="n"/>
      <c r="D8" s="16" t="n"/>
      <c r="E8" s="37" t="n"/>
      <c r="F8" s="38" t="n"/>
      <c r="G8" s="16" t="n"/>
      <c r="H8" s="16" t="n"/>
      <c r="I8" s="13" t="n"/>
    </row>
    <row r="9">
      <c r="A9" s="36" t="n"/>
      <c r="B9" s="16" t="n"/>
      <c r="C9" s="16" t="n"/>
      <c r="D9" s="16" t="n"/>
      <c r="E9" s="37" t="n"/>
      <c r="F9" s="38" t="n"/>
      <c r="G9" s="16" t="n"/>
      <c r="H9" s="16" t="n"/>
      <c r="I9" s="13" t="n"/>
    </row>
    <row r="10">
      <c r="A10" s="36" t="n"/>
      <c r="B10" s="16" t="n"/>
      <c r="C10" s="16" t="n"/>
      <c r="D10" s="16" t="n"/>
      <c r="E10" s="37" t="n"/>
      <c r="F10" s="38" t="n"/>
      <c r="G10" s="16" t="n"/>
      <c r="H10" s="16" t="n"/>
      <c r="I10" s="13" t="n"/>
    </row>
    <row r="11">
      <c r="A11" s="36" t="n"/>
      <c r="B11" s="16" t="n"/>
      <c r="C11" s="16" t="n"/>
      <c r="D11" s="16" t="n"/>
      <c r="E11" s="37" t="n"/>
      <c r="F11" s="38" t="n"/>
      <c r="G11" s="16" t="n"/>
      <c r="H11" s="16" t="n"/>
      <c r="I11" s="13" t="n"/>
    </row>
    <row r="12">
      <c r="A12" s="36" t="n"/>
      <c r="B12" s="16" t="n"/>
      <c r="C12" s="16" t="n"/>
      <c r="D12" s="16" t="n"/>
      <c r="E12" s="37" t="n"/>
      <c r="F12" s="38" t="n"/>
      <c r="G12" s="16" t="n"/>
      <c r="H12" s="16" t="n"/>
      <c r="I12" s="13" t="n"/>
    </row>
    <row r="13">
      <c r="A13" s="36" t="n"/>
      <c r="B13" s="16" t="n"/>
      <c r="C13" s="16" t="n"/>
      <c r="D13" s="16" t="n"/>
      <c r="E13" s="37" t="n"/>
      <c r="F13" s="38" t="n"/>
      <c r="G13" s="16" t="n"/>
      <c r="H13" s="16" t="n"/>
      <c r="I13" s="13" t="n"/>
    </row>
    <row r="14">
      <c r="A14" s="36" t="n"/>
      <c r="B14" s="16" t="n"/>
      <c r="C14" s="16" t="n"/>
      <c r="D14" s="16" t="n"/>
      <c r="E14" s="37" t="n"/>
      <c r="F14" s="38" t="n"/>
      <c r="G14" s="16" t="n"/>
      <c r="H14" s="16" t="n"/>
      <c r="I14" s="13" t="n"/>
    </row>
    <row r="15">
      <c r="A15" s="36" t="n"/>
      <c r="B15" s="16" t="n"/>
      <c r="C15" s="16" t="n"/>
      <c r="D15" s="16" t="n"/>
      <c r="E15" s="37" t="n"/>
      <c r="F15" s="38" t="n"/>
      <c r="G15" s="16" t="n"/>
      <c r="H15" s="16" t="n"/>
      <c r="I15" s="13" t="n"/>
    </row>
    <row r="16">
      <c r="A16" s="36" t="n"/>
      <c r="B16" s="16" t="n"/>
      <c r="C16" s="16" t="n"/>
      <c r="D16" s="16" t="n"/>
      <c r="E16" s="37" t="n"/>
      <c r="F16" s="38" t="n"/>
      <c r="G16" s="16" t="n"/>
      <c r="H16" s="16" t="n"/>
      <c r="I16" s="13" t="n"/>
    </row>
    <row r="17">
      <c r="A17" s="36" t="n"/>
      <c r="B17" s="16" t="n"/>
      <c r="C17" s="16" t="n"/>
      <c r="D17" s="16" t="n"/>
      <c r="E17" s="37" t="n"/>
      <c r="F17" s="38" t="n"/>
      <c r="G17" s="16" t="n"/>
      <c r="H17" s="16" t="n"/>
      <c r="I17" s="13" t="n"/>
    </row>
    <row r="18">
      <c r="A18" s="36" t="n"/>
      <c r="B18" s="16" t="n"/>
      <c r="C18" s="16" t="n"/>
      <c r="D18" s="16" t="n"/>
      <c r="E18" s="37" t="n"/>
      <c r="F18" s="38" t="n"/>
      <c r="G18" s="16" t="n"/>
      <c r="H18" s="16" t="n"/>
      <c r="I18" s="13" t="n"/>
    </row>
    <row r="19">
      <c r="A19" s="36" t="n"/>
      <c r="B19" s="16" t="n"/>
      <c r="C19" s="16" t="n"/>
      <c r="D19" s="16" t="n"/>
      <c r="E19" s="37" t="n"/>
      <c r="F19" s="38" t="n"/>
      <c r="G19" s="16" t="n"/>
      <c r="H19" s="16" t="n"/>
      <c r="I19" s="13" t="n"/>
    </row>
    <row r="22">
      <c r="A22" s="17" t="inlineStr">
        <is>
          <t>MAINTENANCE LOG</t>
        </is>
      </c>
    </row>
    <row r="23">
      <c r="A23" s="11" t="inlineStr">
        <is>
          <t>Date</t>
        </is>
      </c>
      <c r="B23" s="11" t="inlineStr">
        <is>
          <t>Machine/Site ID</t>
        </is>
      </c>
      <c r="C23" s="11" t="inlineStr">
        <is>
          <t>Fault Description</t>
        </is>
      </c>
      <c r="D23" s="11" t="inlineStr">
        <is>
          <t>Severity</t>
        </is>
      </c>
      <c r="E23" s="11" t="inlineStr">
        <is>
          <t>Action Taken</t>
        </is>
      </c>
      <c r="F23" s="11" t="inlineStr">
        <is>
          <t>Parts Cost (£)</t>
        </is>
      </c>
      <c r="G23" s="11" t="inlineStr">
        <is>
          <t>Labour Cost (£)</t>
        </is>
      </c>
      <c r="H23" s="11" t="inlineStr">
        <is>
          <t>Resolved</t>
        </is>
      </c>
      <c r="I23" s="11" t="inlineStr">
        <is>
          <t>Under Warranty</t>
        </is>
      </c>
    </row>
    <row r="24">
      <c r="A24" s="36" t="n"/>
      <c r="B24" s="16" t="n"/>
      <c r="C24" s="16" t="n"/>
      <c r="D24" s="16" t="n"/>
      <c r="E24" s="16" t="n"/>
      <c r="F24" s="13" t="n"/>
      <c r="G24" s="13" t="n"/>
      <c r="H24" s="16" t="n"/>
      <c r="I24" s="16" t="n"/>
    </row>
    <row r="25">
      <c r="A25" s="36" t="n"/>
      <c r="B25" s="16" t="n"/>
      <c r="C25" s="16" t="n"/>
      <c r="D25" s="16" t="n"/>
      <c r="E25" s="16" t="n"/>
      <c r="F25" s="13" t="n"/>
      <c r="G25" s="13" t="n"/>
      <c r="H25" s="16" t="n"/>
      <c r="I25" s="16" t="n"/>
    </row>
    <row r="26">
      <c r="A26" s="36" t="n"/>
      <c r="B26" s="16" t="n"/>
      <c r="C26" s="16" t="n"/>
      <c r="D26" s="16" t="n"/>
      <c r="E26" s="16" t="n"/>
      <c r="F26" s="13" t="n"/>
      <c r="G26" s="13" t="n"/>
      <c r="H26" s="16" t="n"/>
      <c r="I26" s="16" t="n"/>
    </row>
    <row r="27">
      <c r="A27" s="36" t="n"/>
      <c r="B27" s="16" t="n"/>
      <c r="C27" s="16" t="n"/>
      <c r="D27" s="16" t="n"/>
      <c r="E27" s="16" t="n"/>
      <c r="F27" s="13" t="n"/>
      <c r="G27" s="13" t="n"/>
      <c r="H27" s="16" t="n"/>
      <c r="I27" s="16" t="n"/>
    </row>
    <row r="28">
      <c r="A28" s="36" t="n"/>
      <c r="B28" s="16" t="n"/>
      <c r="C28" s="16" t="n"/>
      <c r="D28" s="16" t="n"/>
      <c r="E28" s="16" t="n"/>
      <c r="F28" s="13" t="n"/>
      <c r="G28" s="13" t="n"/>
      <c r="H28" s="16" t="n"/>
      <c r="I28" s="16" t="n"/>
    </row>
    <row r="29">
      <c r="A29" s="36" t="n"/>
      <c r="B29" s="16" t="n"/>
      <c r="C29" s="16" t="n"/>
      <c r="D29" s="16" t="n"/>
      <c r="E29" s="16" t="n"/>
      <c r="F29" s="13" t="n"/>
      <c r="G29" s="13" t="n"/>
      <c r="H29" s="16" t="n"/>
      <c r="I29" s="16" t="n"/>
    </row>
    <row r="30">
      <c r="A30" s="36" t="n"/>
      <c r="B30" s="16" t="n"/>
      <c r="C30" s="16" t="n"/>
      <c r="D30" s="16" t="n"/>
      <c r="E30" s="16" t="n"/>
      <c r="F30" s="13" t="n"/>
      <c r="G30" s="13" t="n"/>
      <c r="H30" s="16" t="n"/>
      <c r="I30" s="16" t="n"/>
    </row>
    <row r="31">
      <c r="A31" s="36" t="n"/>
      <c r="B31" s="16" t="n"/>
      <c r="C31" s="16" t="n"/>
      <c r="D31" s="16" t="n"/>
      <c r="E31" s="16" t="n"/>
      <c r="F31" s="13" t="n"/>
      <c r="G31" s="13" t="n"/>
      <c r="H31" s="16" t="n"/>
      <c r="I31" s="16" t="n"/>
    </row>
    <row r="32">
      <c r="A32" s="36" t="n"/>
      <c r="B32" s="16" t="n"/>
      <c r="C32" s="16" t="n"/>
      <c r="D32" s="16" t="n"/>
      <c r="E32" s="16" t="n"/>
      <c r="F32" s="13" t="n"/>
      <c r="G32" s="13" t="n"/>
      <c r="H32" s="16" t="n"/>
      <c r="I32" s="16" t="n"/>
    </row>
    <row r="33">
      <c r="A33" s="36" t="n"/>
      <c r="B33" s="16" t="n"/>
      <c r="C33" s="16" t="n"/>
      <c r="D33" s="16" t="n"/>
      <c r="E33" s="16" t="n"/>
      <c r="F33" s="13" t="n"/>
      <c r="G33" s="13" t="n"/>
      <c r="H33" s="16" t="n"/>
      <c r="I33" s="16" t="n"/>
    </row>
    <row r="36">
      <c r="A36" s="26" t="inlineStr">
        <is>
          <t>OPERATIONAL BELIEFS (review quarterly)</t>
        </is>
      </c>
      <c r="B36" s="27" t="n"/>
      <c r="C36" s="27" t="n"/>
      <c r="D36" s="27" t="n"/>
      <c r="E36" s="27" t="n"/>
    </row>
    <row r="37">
      <c r="A37" s="18" t="inlineStr">
        <is>
          <t>Cluster density over scattered reach</t>
        </is>
      </c>
      <c r="D37" s="24" t="inlineStr">
        <is>
          <t>Add sites near existing ones. Revenue per hour of drive time is the real metric.</t>
        </is>
      </c>
    </row>
    <row r="38">
      <c r="A38" s="18" t="inlineStr">
        <is>
          <t>Stock-out costs more than overstock</t>
        </is>
      </c>
      <c r="D38" s="24" t="inlineStr">
        <is>
          <t>Empty slot = lost sale + trained-away customer. Overstocked shelf = zero cost (non-perishable).</t>
        </is>
      </c>
    </row>
    <row r="39">
      <c r="A39" s="18" t="inlineStr">
        <is>
          <t>Data-driven restocking, not calendar-driven</t>
        </is>
      </c>
      <c r="D39" s="24" t="inlineStr">
        <is>
          <t>Check Nayax/sales data before every run. Let demand set visit frequency, not habit.</t>
        </is>
      </c>
    </row>
    <row r="40">
      <c r="A40" s="18" t="inlineStr">
        <is>
          <t>Revenue per operator-hour is the north star</t>
        </is>
      </c>
      <c r="D40" s="24" t="inlineStr">
        <is>
          <t>Track time spent per site. If a site takes 2 hours for £30/week revenue, drop it.</t>
        </is>
      </c>
    </row>
    <row r="41">
      <c r="A41" s="18" t="inlineStr">
        <is>
          <t>Every visit is a gate: observe, orient, act, log</t>
        </is>
      </c>
      <c r="D41" s="24" t="inlineStr">
        <is>
          <t>Pre-visit: check dashboard. On-site: restock + inspect + clean. Post-visit: log anomalies.</t>
        </is>
      </c>
    </row>
    <row r="43">
      <c r="A43" s="26" t="inlineStr">
        <is>
          <t>OPERATIONAL METHODS (review monthly)</t>
        </is>
      </c>
      <c r="B43" s="27" t="n"/>
      <c r="C43" s="27" t="n"/>
      <c r="D43" s="27" t="n"/>
      <c r="E43" s="27" t="n"/>
    </row>
    <row r="44">
      <c r="A44" s="18" t="inlineStr">
        <is>
          <t>Method</t>
        </is>
      </c>
      <c r="B44" s="18" t="inlineStr">
        <is>
          <t>Current Setting</t>
        </is>
      </c>
      <c r="C44" s="18" t="inlineStr">
        <is>
          <t>Last Reviewed</t>
        </is>
      </c>
      <c r="D44" s="18" t="inlineStr">
        <is>
          <t>Notes</t>
        </is>
      </c>
    </row>
    <row r="45">
      <c r="A45" t="inlineStr">
        <is>
          <t>Purchasing strategy</t>
        </is>
      </c>
      <c r="B45" s="19" t="inlineStr">
        <is>
          <t>JIT (buy morning of restock)</t>
        </is>
      </c>
      <c r="C45" s="39" t="inlineStr"/>
      <c r="D45" s="24" t="inlineStr">
        <is>
          <t>Switch to bulk when 5+ machines</t>
        </is>
      </c>
    </row>
    <row r="46">
      <c r="A46" t="inlineStr">
        <is>
          <t>Restock frequency</t>
        </is>
      </c>
      <c r="B46" s="19" t="inlineStr">
        <is>
          <t>2x/week per machine</t>
        </is>
      </c>
      <c r="C46" s="39" t="inlineStr"/>
      <c r="D46" s="24" t="inlineStr">
        <is>
          <t>Adjust per site based on Nayax data</t>
        </is>
      </c>
    </row>
    <row r="47">
      <c r="A47" t="inlineStr">
        <is>
          <t>Product rotation cadence</t>
        </is>
      </c>
      <c r="B47" s="19" t="inlineStr">
        <is>
          <t>Monthly — swap bottom 3 sellers</t>
        </is>
      </c>
      <c r="C47" s="39" t="inlineStr"/>
      <c r="D47" s="24" t="inlineStr">
        <is>
          <t>Track via Weekly P&amp;L</t>
        </is>
      </c>
    </row>
    <row r="48">
      <c r="A48" t="inlineStr">
        <is>
          <t>Pricing strategy</t>
        </is>
      </c>
      <c r="B48" s="19" t="inlineStr">
        <is>
          <t>60%+ net margin target</t>
        </is>
      </c>
      <c r="C48" s="39" t="inlineStr"/>
      <c r="D48" s="24" t="inlineStr">
        <is>
          <t>Premium sites can go higher</t>
        </is>
      </c>
    </row>
    <row r="49">
      <c r="A49" t="inlineStr">
        <is>
          <t>Margin floor</t>
        </is>
      </c>
      <c r="B49" s="19" t="inlineStr">
        <is>
          <t>30% net minimum to stock</t>
        </is>
      </c>
      <c r="C49" s="39" t="inlineStr"/>
      <c r="D49" s="24" t="inlineStr">
        <is>
          <t>Below this, product isn't worth the slot</t>
        </is>
      </c>
    </row>
    <row r="50">
      <c r="A50" t="inlineStr">
        <is>
          <t>Visit time target</t>
        </is>
      </c>
      <c r="B50" s="19" t="inlineStr">
        <is>
          <t>30 min per machine</t>
        </is>
      </c>
      <c r="C50" s="39" t="inlineStr"/>
      <c r="D50" s="24" t="inlineStr">
        <is>
          <t>Including travel, restock, clean</t>
        </is>
      </c>
    </row>
    <row r="51">
      <c r="A51" t="inlineStr">
        <is>
          <t>Shrinkage threshold (micro-market)</t>
        </is>
      </c>
      <c r="B51" s="19" t="inlineStr">
        <is>
          <t>5% — investigate above this</t>
        </is>
      </c>
      <c r="C51" s="39" t="inlineStr"/>
      <c r="D51" s="24" t="inlineStr">
        <is>
          <t>Camera or format change if persistent</t>
        </is>
      </c>
    </row>
  </sheetData>
  <dataValidations count="4">
    <dataValidation sqref="D3:D500" showDropDown="0" showInputMessage="0" showErrorMessage="0" allowBlank="1" errorTitle="Invalid Entry" error="Please select from the dropdown list" type="list">
      <formula1>"Restock,Top-up,Maintenance,Inspection,Install,Removal,Emergency"</formula1>
    </dataValidation>
    <dataValidation sqref="D24:D74" showDropDown="0" showInputMessage="0" showErrorMessage="0" allowBlank="1" errorTitle="Invalid Entry" error="Please select from the dropdown list" type="list">
      <formula1>"Low,Medium,High,Critical"</formula1>
    </dataValidation>
    <dataValidation sqref="H24:H74" showDropDown="0" showInputMessage="0" showErrorMessage="0" allowBlank="1" errorTitle="Invalid Entry" error="Please select from the dropdown list" type="list">
      <formula1>"Yes,No,Pending Parts"</formula1>
    </dataValidation>
    <dataValidation sqref="I24:I74" showDropDown="0" showInputMessage="0" showErrorMessage="0" allowBlank="1" errorTitle="Invalid Entry" error="Please select from the dropdown list" type="list">
      <formula1>"Yes,No,Claim Submitted"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>
      <c r="A1" s="17" t="inlineStr">
        <is>
          <t>PERFORMANCE REVIEW — THE ORIENTATION LOOP</t>
        </is>
      </c>
    </row>
    <row r="2">
      <c r="A2" s="40" t="inlineStr">
        <is>
          <t>Fill weekly. Review monthly. Beliefs and methods evolve from what you see here.</t>
        </is>
      </c>
    </row>
    <row r="4">
      <c r="A4" s="3" t="inlineStr">
        <is>
          <t>SITE PERFORMANCE (weekly)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11" t="inlineStr">
        <is>
          <t>Machine/Site ID</t>
        </is>
      </c>
      <c r="B5" s="11" t="inlineStr">
        <is>
          <t>Week Commencing</t>
        </is>
      </c>
      <c r="C5" s="11" t="inlineStr">
        <is>
          <t>Revenue (£)</t>
        </is>
      </c>
      <c r="D5" s="11" t="inlineStr">
        <is>
          <t>Stock Cost (£)</t>
        </is>
      </c>
      <c r="E5" s="11" t="inlineStr">
        <is>
          <t>Gross Margin (%)</t>
        </is>
      </c>
      <c r="F5" s="11" t="inlineStr">
        <is>
          <t>Vends/Day (est.)</t>
        </is>
      </c>
      <c r="G5" s="11" t="inlineStr">
        <is>
          <t>Operator Hours</t>
        </is>
      </c>
      <c r="H5" s="11" t="inlineStr">
        <is>
          <t>Revenue per Hour (£)</t>
        </is>
      </c>
    </row>
    <row r="6">
      <c r="A6" s="16" t="n"/>
      <c r="B6" s="36" t="n"/>
      <c r="C6" s="13" t="n"/>
      <c r="D6" s="13" t="n"/>
      <c r="E6" s="9">
        <f>IF(C6="","",(C6-D6)/C6)</f>
        <v/>
      </c>
      <c r="F6" s="38" t="n"/>
      <c r="G6" s="38" t="n"/>
      <c r="H6" s="14">
        <f>IF(G6="","",C6/G6)</f>
        <v/>
      </c>
    </row>
    <row r="7">
      <c r="A7" s="16" t="n"/>
      <c r="B7" s="36" t="n"/>
      <c r="C7" s="13" t="n"/>
      <c r="D7" s="13" t="n"/>
      <c r="E7" s="9">
        <f>IF(C7="","",(C7-D7)/C7)</f>
        <v/>
      </c>
      <c r="F7" s="38" t="n"/>
      <c r="G7" s="38" t="n"/>
      <c r="H7" s="14">
        <f>IF(G7="","",C7/G7)</f>
        <v/>
      </c>
    </row>
    <row r="8">
      <c r="A8" s="16" t="n"/>
      <c r="B8" s="36" t="n"/>
      <c r="C8" s="13" t="n"/>
      <c r="D8" s="13" t="n"/>
      <c r="E8" s="9">
        <f>IF(C8="","",(C8-D8)/C8)</f>
        <v/>
      </c>
      <c r="F8" s="38" t="n"/>
      <c r="G8" s="38" t="n"/>
      <c r="H8" s="14">
        <f>IF(G8="","",C8/G8)</f>
        <v/>
      </c>
    </row>
    <row r="9">
      <c r="A9" s="16" t="n"/>
      <c r="B9" s="36" t="n"/>
      <c r="C9" s="13" t="n"/>
      <c r="D9" s="13" t="n"/>
      <c r="E9" s="9">
        <f>IF(C9="","",(C9-D9)/C9)</f>
        <v/>
      </c>
      <c r="F9" s="38" t="n"/>
      <c r="G9" s="38" t="n"/>
      <c r="H9" s="14">
        <f>IF(G9="","",C9/G9)</f>
        <v/>
      </c>
    </row>
    <row r="10">
      <c r="A10" s="16" t="n"/>
      <c r="B10" s="36" t="n"/>
      <c r="C10" s="13" t="n"/>
      <c r="D10" s="13" t="n"/>
      <c r="E10" s="9">
        <f>IF(C10="","",(C10-D10)/C10)</f>
        <v/>
      </c>
      <c r="F10" s="38" t="n"/>
      <c r="G10" s="38" t="n"/>
      <c r="H10" s="14">
        <f>IF(G10="","",C10/G10)</f>
        <v/>
      </c>
    </row>
    <row r="11">
      <c r="A11" s="16" t="n"/>
      <c r="B11" s="36" t="n"/>
      <c r="C11" s="13" t="n"/>
      <c r="D11" s="13" t="n"/>
      <c r="E11" s="9">
        <f>IF(C11="","",(C11-D11)/C11)</f>
        <v/>
      </c>
      <c r="F11" s="38" t="n"/>
      <c r="G11" s="38" t="n"/>
      <c r="H11" s="14">
        <f>IF(G11="","",C11/G11)</f>
        <v/>
      </c>
    </row>
    <row r="12">
      <c r="A12" s="16" t="n"/>
      <c r="B12" s="36" t="n"/>
      <c r="C12" s="13" t="n"/>
      <c r="D12" s="13" t="n"/>
      <c r="E12" s="9">
        <f>IF(C12="","",(C12-D12)/C12)</f>
        <v/>
      </c>
      <c r="F12" s="38" t="n"/>
      <c r="G12" s="38" t="n"/>
      <c r="H12" s="14">
        <f>IF(G12="","",C12/G12)</f>
        <v/>
      </c>
    </row>
    <row r="13">
      <c r="A13" s="16" t="n"/>
      <c r="B13" s="36" t="n"/>
      <c r="C13" s="13" t="n"/>
      <c r="D13" s="13" t="n"/>
      <c r="E13" s="9">
        <f>IF(C13="","",(C13-D13)/C13)</f>
        <v/>
      </c>
      <c r="F13" s="38" t="n"/>
      <c r="G13" s="38" t="n"/>
      <c r="H13" s="14">
        <f>IF(G13="","",C13/G13)</f>
        <v/>
      </c>
    </row>
    <row r="14">
      <c r="A14" s="16" t="n"/>
      <c r="B14" s="36" t="n"/>
      <c r="C14" s="13" t="n"/>
      <c r="D14" s="13" t="n"/>
      <c r="E14" s="9">
        <f>IF(C14="","",(C14-D14)/C14)</f>
        <v/>
      </c>
      <c r="F14" s="38" t="n"/>
      <c r="G14" s="38" t="n"/>
      <c r="H14" s="14">
        <f>IF(G14="","",C14/G14)</f>
        <v/>
      </c>
    </row>
    <row r="15">
      <c r="A15" s="16" t="n"/>
      <c r="B15" s="36" t="n"/>
      <c r="C15" s="13" t="n"/>
      <c r="D15" s="13" t="n"/>
      <c r="E15" s="9">
        <f>IF(C15="","",(C15-D15)/C15)</f>
        <v/>
      </c>
      <c r="F15" s="38" t="n"/>
      <c r="G15" s="38" t="n"/>
      <c r="H15" s="14">
        <f>IF(G15="","",C15/G15)</f>
        <v/>
      </c>
    </row>
    <row r="16">
      <c r="A16" s="16" t="n"/>
      <c r="B16" s="36" t="n"/>
      <c r="C16" s="13" t="n"/>
      <c r="D16" s="13" t="n"/>
      <c r="E16" s="9">
        <f>IF(C16="","",(C16-D16)/C16)</f>
        <v/>
      </c>
      <c r="F16" s="38" t="n"/>
      <c r="G16" s="38" t="n"/>
      <c r="H16" s="14">
        <f>IF(G16="","",C16/G16)</f>
        <v/>
      </c>
    </row>
    <row r="17">
      <c r="A17" s="16" t="n"/>
      <c r="B17" s="36" t="n"/>
      <c r="C17" s="13" t="n"/>
      <c r="D17" s="13" t="n"/>
      <c r="E17" s="9">
        <f>IF(C17="","",(C17-D17)/C17)</f>
        <v/>
      </c>
      <c r="F17" s="38" t="n"/>
      <c r="G17" s="38" t="n"/>
      <c r="H17" s="14">
        <f>IF(G17="","",C17/G17)</f>
        <v/>
      </c>
    </row>
    <row r="18">
      <c r="A18" s="16" t="n"/>
      <c r="B18" s="36" t="n"/>
      <c r="C18" s="13" t="n"/>
      <c r="D18" s="13" t="n"/>
      <c r="E18" s="9">
        <f>IF(C18="","",(C18-D18)/C18)</f>
        <v/>
      </c>
      <c r="F18" s="38" t="n"/>
      <c r="G18" s="38" t="n"/>
      <c r="H18" s="14">
        <f>IF(G18="","",C18/G18)</f>
        <v/>
      </c>
    </row>
    <row r="19">
      <c r="A19" s="16" t="n"/>
      <c r="B19" s="36" t="n"/>
      <c r="C19" s="13" t="n"/>
      <c r="D19" s="13" t="n"/>
      <c r="E19" s="9">
        <f>IF(C19="","",(C19-D19)/C19)</f>
        <v/>
      </c>
      <c r="F19" s="38" t="n"/>
      <c r="G19" s="38" t="n"/>
      <c r="H19" s="14">
        <f>IF(G19="","",C19/G19)</f>
        <v/>
      </c>
    </row>
    <row r="20">
      <c r="A20" s="16" t="n"/>
      <c r="B20" s="36" t="n"/>
      <c r="C20" s="13" t="n"/>
      <c r="D20" s="13" t="n"/>
      <c r="E20" s="9">
        <f>IF(C20="","",(C20-D20)/C20)</f>
        <v/>
      </c>
      <c r="F20" s="38" t="n"/>
      <c r="G20" s="38" t="n"/>
      <c r="H20" s="14">
        <f>IF(G20="","",C20/G20)</f>
        <v/>
      </c>
    </row>
    <row r="22">
      <c r="A22" s="3" t="inlineStr">
        <is>
          <t>PRODUCT PERFORMANCE (monthly)</t>
        </is>
      </c>
      <c r="B22" s="4" t="n"/>
      <c r="C22" s="4" t="n"/>
      <c r="D22" s="4" t="n"/>
      <c r="E22" s="4" t="n"/>
      <c r="F22" s="4" t="n"/>
      <c r="G22" s="4" t="n"/>
      <c r="H22" s="4" t="n"/>
    </row>
    <row r="23">
      <c r="A23" s="11" t="inlineStr">
        <is>
          <t>Product</t>
        </is>
      </c>
      <c r="B23" s="11" t="inlineStr">
        <is>
          <t>Units Sold (month)</t>
        </is>
      </c>
      <c r="C23" s="11" t="inlineStr">
        <is>
          <t>Revenue (£)</t>
        </is>
      </c>
      <c r="D23" s="11" t="inlineStr">
        <is>
          <t>COGS (£)</t>
        </is>
      </c>
      <c r="E23" s="11" t="inlineStr">
        <is>
          <t>Net Margin (%)</t>
        </is>
      </c>
      <c r="F23" s="11" t="inlineStr">
        <is>
          <t>Rank</t>
        </is>
      </c>
      <c r="G23" s="11" t="inlineStr">
        <is>
          <t>Action</t>
        </is>
      </c>
      <c r="H23" s="11" t="inlineStr">
        <is>
          <t>Notes</t>
        </is>
      </c>
    </row>
    <row r="24">
      <c r="A24" s="16" t="n"/>
      <c r="B24" s="16" t="n"/>
      <c r="C24" s="13" t="n"/>
      <c r="D24" s="13" t="n"/>
      <c r="E24" s="9">
        <f>IF(C24="","",(C24-D24)/C24)</f>
        <v/>
      </c>
      <c r="F24" s="16" t="n"/>
    </row>
    <row r="25">
      <c r="A25" s="16" t="n"/>
      <c r="B25" s="16" t="n"/>
      <c r="C25" s="13" t="n"/>
      <c r="D25" s="13" t="n"/>
      <c r="E25" s="9">
        <f>IF(C25="","",(C25-D25)/C25)</f>
        <v/>
      </c>
      <c r="F25" s="16" t="n"/>
    </row>
    <row r="26">
      <c r="A26" s="16" t="n"/>
      <c r="B26" s="16" t="n"/>
      <c r="C26" s="13" t="n"/>
      <c r="D26" s="13" t="n"/>
      <c r="E26" s="9">
        <f>IF(C26="","",(C26-D26)/C26)</f>
        <v/>
      </c>
      <c r="F26" s="16" t="n"/>
    </row>
    <row r="27">
      <c r="A27" s="16" t="n"/>
      <c r="B27" s="16" t="n"/>
      <c r="C27" s="13" t="n"/>
      <c r="D27" s="13" t="n"/>
      <c r="E27" s="9">
        <f>IF(C27="","",(C27-D27)/C27)</f>
        <v/>
      </c>
      <c r="F27" s="16" t="n"/>
    </row>
    <row r="28">
      <c r="A28" s="16" t="n"/>
      <c r="B28" s="16" t="n"/>
      <c r="C28" s="13" t="n"/>
      <c r="D28" s="13" t="n"/>
      <c r="E28" s="9">
        <f>IF(C28="","",(C28-D28)/C28)</f>
        <v/>
      </c>
      <c r="F28" s="16" t="n"/>
    </row>
    <row r="29">
      <c r="A29" s="16" t="n"/>
      <c r="B29" s="16" t="n"/>
      <c r="C29" s="13" t="n"/>
      <c r="D29" s="13" t="n"/>
      <c r="E29" s="9">
        <f>IF(C29="","",(C29-D29)/C29)</f>
        <v/>
      </c>
      <c r="F29" s="16" t="n"/>
    </row>
    <row r="30">
      <c r="A30" s="16" t="n"/>
      <c r="B30" s="16" t="n"/>
      <c r="C30" s="13" t="n"/>
      <c r="D30" s="13" t="n"/>
      <c r="E30" s="9">
        <f>IF(C30="","",(C30-D30)/C30)</f>
        <v/>
      </c>
      <c r="F30" s="16" t="n"/>
    </row>
    <row r="31">
      <c r="A31" s="16" t="n"/>
      <c r="B31" s="16" t="n"/>
      <c r="C31" s="13" t="n"/>
      <c r="D31" s="13" t="n"/>
      <c r="E31" s="9">
        <f>IF(C31="","",(C31-D31)/C31)</f>
        <v/>
      </c>
      <c r="F31" s="16" t="n"/>
    </row>
    <row r="32">
      <c r="A32" s="16" t="n"/>
      <c r="B32" s="16" t="n"/>
      <c r="C32" s="13" t="n"/>
      <c r="D32" s="13" t="n"/>
      <c r="E32" s="9">
        <f>IF(C32="","",(C32-D32)/C32)</f>
        <v/>
      </c>
      <c r="F32" s="16" t="n"/>
    </row>
    <row r="33">
      <c r="A33" s="16" t="n"/>
      <c r="B33" s="16" t="n"/>
      <c r="C33" s="13" t="n"/>
      <c r="D33" s="13" t="n"/>
      <c r="E33" s="9">
        <f>IF(C33="","",(C33-D33)/C33)</f>
        <v/>
      </c>
      <c r="F33" s="16" t="n"/>
    </row>
    <row r="34">
      <c r="A34" s="16" t="n"/>
      <c r="B34" s="16" t="n"/>
      <c r="C34" s="13" t="n"/>
      <c r="D34" s="13" t="n"/>
      <c r="E34" s="9">
        <f>IF(C34="","",(C34-D34)/C34)</f>
        <v/>
      </c>
      <c r="F34" s="16" t="n"/>
    </row>
    <row r="35">
      <c r="A35" s="16" t="n"/>
      <c r="B35" s="16" t="n"/>
      <c r="C35" s="13" t="n"/>
      <c r="D35" s="13" t="n"/>
      <c r="E35" s="9">
        <f>IF(C35="","",(C35-D35)/C35)</f>
        <v/>
      </c>
      <c r="F35" s="16" t="n"/>
    </row>
    <row r="36">
      <c r="A36" s="16" t="n"/>
      <c r="B36" s="16" t="n"/>
      <c r="C36" s="13" t="n"/>
      <c r="D36" s="13" t="n"/>
      <c r="E36" s="9">
        <f>IF(C36="","",(C36-D36)/C36)</f>
        <v/>
      </c>
      <c r="F36" s="16" t="n"/>
    </row>
    <row r="37">
      <c r="A37" s="16" t="n"/>
      <c r="B37" s="16" t="n"/>
      <c r="C37" s="13" t="n"/>
      <c r="D37" s="13" t="n"/>
      <c r="E37" s="9">
        <f>IF(C37="","",(C37-D37)/C37)</f>
        <v/>
      </c>
      <c r="F37" s="16" t="n"/>
    </row>
    <row r="38">
      <c r="A38" s="16" t="n"/>
      <c r="B38" s="16" t="n"/>
      <c r="C38" s="13" t="n"/>
      <c r="D38" s="13" t="n"/>
      <c r="E38" s="9">
        <f>IF(C38="","",(C38-D38)/C38)</f>
        <v/>
      </c>
      <c r="F38" s="16" t="n"/>
    </row>
    <row r="39">
      <c r="A39" s="16" t="n"/>
      <c r="B39" s="16" t="n"/>
      <c r="C39" s="13" t="n"/>
      <c r="D39" s="13" t="n"/>
      <c r="E39" s="9">
        <f>IF(C39="","",(C39-D39)/C39)</f>
        <v/>
      </c>
      <c r="F39" s="16" t="n"/>
    </row>
    <row r="40">
      <c r="A40" s="16" t="n"/>
      <c r="B40" s="16" t="n"/>
      <c r="C40" s="13" t="n"/>
      <c r="D40" s="13" t="n"/>
      <c r="E40" s="9">
        <f>IF(C40="","",(C40-D40)/C40)</f>
        <v/>
      </c>
      <c r="F40" s="16" t="n"/>
    </row>
    <row r="41">
      <c r="A41" s="16" t="n"/>
      <c r="B41" s="16" t="n"/>
      <c r="C41" s="13" t="n"/>
      <c r="D41" s="13" t="n"/>
      <c r="E41" s="9">
        <f>IF(C41="","",(C41-D41)/C41)</f>
        <v/>
      </c>
      <c r="F41" s="16" t="n"/>
    </row>
    <row r="42">
      <c r="A42" s="16" t="n"/>
      <c r="B42" s="16" t="n"/>
      <c r="C42" s="13" t="n"/>
      <c r="D42" s="13" t="n"/>
      <c r="E42" s="9">
        <f>IF(C42="","",(C42-D42)/C42)</f>
        <v/>
      </c>
      <c r="F42" s="16" t="n"/>
    </row>
    <row r="43">
      <c r="A43" s="16" t="n"/>
      <c r="B43" s="16" t="n"/>
      <c r="C43" s="13" t="n"/>
      <c r="D43" s="13" t="n"/>
      <c r="E43" s="9">
        <f>IF(C43="","",(C43-D43)/C43)</f>
        <v/>
      </c>
      <c r="F43" s="16" t="n"/>
    </row>
    <row r="45">
      <c r="A45" s="26" t="inlineStr">
        <is>
          <t>MONTHLY REVIEW GATE — answer before making changes</t>
        </is>
      </c>
      <c r="B45" s="27" t="n"/>
      <c r="C45" s="27" t="n"/>
      <c r="D45" s="27" t="n"/>
      <c r="E45" s="27" t="n"/>
      <c r="F45" s="27" t="n"/>
      <c r="G45" s="27" t="n"/>
      <c r="H45" s="27" t="n"/>
    </row>
    <row r="46">
      <c r="A46" s="18" t="inlineStr">
        <is>
          <t>OBSERVE</t>
        </is>
      </c>
      <c r="B46" s="18" t="inlineStr">
        <is>
          <t>What does the data say?</t>
        </is>
      </c>
      <c r="D46" s="24" t="inlineStr">
        <is>
          <t>Which sites are above/below target? Which products moved? Which didn't?</t>
        </is>
      </c>
    </row>
    <row r="47">
      <c r="A47" s="18" t="inlineStr">
        <is>
          <t>ORIENT</t>
        </is>
      </c>
      <c r="B47" s="18" t="inlineStr">
        <is>
          <t>What does this mean?</t>
        </is>
      </c>
      <c r="D47" s="24" t="inlineStr">
        <is>
          <t>Is a low-performing site a bad location or bad product mix? Is a top seller genuinely popular or just the only option?</t>
        </is>
      </c>
    </row>
    <row r="48">
      <c r="A48" s="18" t="inlineStr">
        <is>
          <t>DECIDE</t>
        </is>
      </c>
      <c r="B48" s="18" t="inlineStr">
        <is>
          <t>What will you change?</t>
        </is>
      </c>
      <c r="D48" s="24" t="inlineStr">
        <is>
          <t>Add/drop products, adjust prices, change visit frequency, drop/add sites. One change at a time — otherwise you can't tell what worked.</t>
        </is>
      </c>
    </row>
    <row r="49">
      <c r="A49" s="18" t="inlineStr">
        <is>
          <t>ACT</t>
        </is>
      </c>
      <c r="B49" s="18" t="inlineStr">
        <is>
          <t>Do it. Log it.</t>
        </is>
      </c>
      <c r="D49" s="24" t="inlineStr">
        <is>
          <t>Record changes in Methods table on Operations Log. Set a review date. Don't change again until you have 4 weeks of data.</t>
        </is>
      </c>
    </row>
    <row r="50">
      <c r="A50" s="18" t="inlineStr">
        <is>
          <t>PROTECT</t>
        </is>
      </c>
      <c r="B50" s="18" t="inlineStr">
        <is>
          <t>What could go wrong?</t>
        </is>
      </c>
      <c r="D50" s="24" t="inlineStr">
        <is>
          <t>Will this change break something? Customer complaint risk? Stock-out risk? Cost increase?</t>
        </is>
      </c>
    </row>
    <row r="52">
      <c r="A52" s="41" t="inlineStr">
        <is>
          <t>KEY RULE: One change at a time. Wait 4 weeks. Then measure.</t>
        </is>
      </c>
    </row>
  </sheetData>
  <conditionalFormatting sqref="H6:H20">
    <cfRule type="cellIs" priority="1" operator="lessThan" dxfId="1">
      <formula>15</formula>
    </cfRule>
    <cfRule type="cellIs" priority="2" operator="greaterThan" dxfId="0">
      <formula>30</formula>
    </cfRule>
  </conditionalFormatting>
  <dataValidations count="1">
    <dataValidation sqref="G24:G54" showDropDown="0" showInputMessage="0" showErrorMessage="0" allowBlank="1" errorTitle="Invalid Entry" error="Please select from the dropdown list" type="list">
      <formula1>"Keep,Increase stock,Reduce stock,Replace,Test new price,Drop"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2026-03-22T20:27:05Z</dcterms:created>
  <dcterms:modified xsi:type="dcterms:W3CDTF">2026-03-22T20:27:05Z</dcterms:modified>
</cp:coreProperties>
</file>