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Catalog" sheetId="2" state="visible" r:id="rId2"/>
    <sheet name="Machine Specs" sheetId="3" state="visible" r:id="rId3"/>
    <sheet name="Supplier Directory" sheetId="4" state="visible" r:id="rId4"/>
    <sheet name="Competitor Analysis" sheetId="5" state="visible" r:id="rId5"/>
    <sheet name="Startup Costs" sheetId="6" state="visible" r:id="rId6"/>
    <sheet name="Location Tracker" sheetId="7" state="visible" r:id="rId7"/>
    <sheet name="Weekly P&amp;L" sheetId="8" state="visible" r:id="rId8"/>
  </sheets>
  <definedNames>
    <definedName name="_xlnm._FilterDatabase" localSheetId="1" hidden="1">'Product Catalog'!$A$1:$N$60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0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color rgb="00FFFFFF"/>
      <sz val="11"/>
    </font>
    <font>
      <color rgb="00000000"/>
      <sz val="11"/>
    </font>
    <font>
      <color rgb="000000FF"/>
      <sz val="11"/>
    </font>
    <font>
      <b val="1"/>
      <sz val="14"/>
    </font>
    <font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0" pivotButton="0" quotePrefix="0" xfId="0"/>
    <xf numFmtId="167" fontId="7" fillId="0" borderId="0" pivotButton="0" quotePrefix="0" xfId="0"/>
    <xf numFmtId="167" fontId="0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7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7" fillId="4" borderId="1" pivotButton="0" quotePrefix="0" xfId="0"/>
    <xf numFmtId="164" fontId="4" fillId="0" borderId="1" pivotButton="0" quotePrefix="0" xfId="0"/>
    <xf numFmtId="0" fontId="9" fillId="0" borderId="0" pivotButton="0" quotePrefix="0" xfId="0"/>
    <xf numFmtId="168" fontId="7" fillId="4" borderId="0" pivotButton="0" quotePrefix="0" xfId="0"/>
    <xf numFmtId="167" fontId="7" fillId="4" borderId="0" pivotButton="0" quotePrefix="0" xfId="0"/>
    <xf numFmtId="167" fontId="4" fillId="0" borderId="0" pivotButton="0" quotePrefix="0" xfId="0"/>
    <xf numFmtId="167" fontId="7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Costs'!D35</f>
        <v/>
      </c>
    </row>
    <row r="7">
      <c r="A7" s="5" t="inlineStr">
        <is>
          <t>Monthly Operating Cost</t>
        </is>
      </c>
      <c r="B7" s="7">
        <f>'Startup Costs'!D32</f>
        <v/>
      </c>
    </row>
    <row r="8">
      <c r="A8" s="5" t="inlineStr">
        <is>
          <t>Est. Monthly Revenue</t>
        </is>
      </c>
      <c r="B8" s="7">
        <f>'Startup Costs'!D38</f>
        <v/>
      </c>
    </row>
    <row r="9">
      <c r="A9" s="5" t="inlineStr">
        <is>
          <t>Est. Monthly Profit</t>
        </is>
      </c>
      <c r="B9" s="7">
        <f>'Startup Costs'!D39</f>
        <v/>
      </c>
    </row>
    <row r="10">
      <c r="A10" s="5" t="inlineStr">
        <is>
          <t>Months to Breakeven</t>
        </is>
      </c>
      <c r="B10" s="8">
        <f>'Startup Costs'!D40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1" t="inlineStr">
        <is>
          <t>Category</t>
        </is>
      </c>
      <c r="B1" s="11" t="inlineStr">
        <is>
          <t>Product Name</t>
        </is>
      </c>
      <c r="C1" s="11" t="inlineStr">
        <is>
          <t>Brand</t>
        </is>
      </c>
      <c r="D1" s="11" t="inlineStr">
        <is>
          <t>Pack Size</t>
        </is>
      </c>
      <c r="E1" s="11" t="inlineStr">
        <is>
          <t>Wholesale Unit Cost (£)</t>
        </is>
      </c>
      <c r="F1" s="11" t="inlineStr">
        <is>
          <t>Wholesale Source</t>
        </is>
      </c>
      <c r="G1" s="11" t="inlineStr">
        <is>
          <t>Vend Price (£)</t>
        </is>
      </c>
      <c r="H1" s="11" t="inlineStr">
        <is>
          <t>Gross Margin (£)</t>
        </is>
      </c>
      <c r="I1" s="11" t="inlineStr">
        <is>
          <t>Gross Margin (%)</t>
        </is>
      </c>
      <c r="J1" s="11" t="inlineStr">
        <is>
          <t>Card Fee (£)</t>
        </is>
      </c>
      <c r="K1" s="11" t="inlineStr">
        <is>
          <t>Net Margin (£)</t>
        </is>
      </c>
      <c r="L1" s="11" t="inlineStr">
        <is>
          <t>Net Margin (%)</t>
        </is>
      </c>
      <c r="M1" s="11" t="inlineStr">
        <is>
          <t>Location Fit</t>
        </is>
      </c>
      <c r="N1" s="11" t="inlineStr">
        <is>
          <t>Notes</t>
        </is>
      </c>
    </row>
    <row r="2">
      <c r="A2" s="12" t="inlineStr">
        <is>
          <t>Confectionery</t>
        </is>
      </c>
      <c r="B2" s="12" t="inlineStr">
        <is>
          <t>Mars Bar 51g</t>
        </is>
      </c>
      <c r="C2" s="12" t="inlineStr">
        <is>
          <t>Mars</t>
        </is>
      </c>
      <c r="D2" s="12" t="inlineStr">
        <is>
          <t>48</t>
        </is>
      </c>
      <c r="E2" s="13" t="n">
        <v>0.55</v>
      </c>
      <c r="F2" s="12" t="inlineStr">
        <is>
          <t>benchmark</t>
        </is>
      </c>
      <c r="G2" s="13" t="n">
        <v>1.4</v>
      </c>
      <c r="H2" s="14">
        <f>G2-E2</f>
        <v/>
      </c>
      <c r="I2" s="9">
        <f>(G2-E2)/G2</f>
        <v/>
      </c>
      <c r="J2" s="14">
        <f>G2*0.029</f>
        <v/>
      </c>
      <c r="K2" s="14">
        <f>H2-J2</f>
        <v/>
      </c>
      <c r="L2" s="9">
        <f>K2/G2</f>
        <v/>
      </c>
      <c r="M2" s="12" t="inlineStr">
        <is>
          <t>Universal</t>
        </is>
      </c>
      <c r="N2" s="12" t="inlineStr">
        <is>
          <t>Est. — benchmark range £0.45-0.65. Standard countline, top seller in UK vending.</t>
        </is>
      </c>
    </row>
    <row r="3">
      <c r="A3" s="12" t="inlineStr">
        <is>
          <t>Confectionery</t>
        </is>
      </c>
      <c r="B3" s="12" t="inlineStr">
        <is>
          <t>Snickers 48g</t>
        </is>
      </c>
      <c r="C3" s="12" t="inlineStr">
        <is>
          <t>Mars</t>
        </is>
      </c>
      <c r="D3" s="12" t="inlineStr">
        <is>
          <t>48</t>
        </is>
      </c>
      <c r="E3" s="13" t="n">
        <v>0.55</v>
      </c>
      <c r="F3" s="12" t="inlineStr">
        <is>
          <t>benchmark</t>
        </is>
      </c>
      <c r="G3" s="13" t="n">
        <v>1.4</v>
      </c>
      <c r="H3" s="14">
        <f>G3-E3</f>
        <v/>
      </c>
      <c r="I3" s="9">
        <f>(G3-E3)/G3</f>
        <v/>
      </c>
      <c r="J3" s="14">
        <f>G3*0.029</f>
        <v/>
      </c>
      <c r="K3" s="14">
        <f>H3-J3</f>
        <v/>
      </c>
      <c r="L3" s="9">
        <f>K3/G3</f>
        <v/>
      </c>
      <c r="M3" s="12" t="inlineStr">
        <is>
          <t>Universal</t>
        </is>
      </c>
      <c r="N3" s="12" t="inlineStr">
        <is>
          <t>Est. — benchmark range £0.45-0.65. Strong seller, comparable to Mars.</t>
        </is>
      </c>
    </row>
    <row r="4">
      <c r="A4" s="12" t="inlineStr">
        <is>
          <t>Confectionery</t>
        </is>
      </c>
      <c r="B4" s="12" t="inlineStr">
        <is>
          <t>KitKat 4 Finger 41.5g</t>
        </is>
      </c>
      <c r="C4" s="12" t="inlineStr">
        <is>
          <t>Nestle</t>
        </is>
      </c>
      <c r="D4" s="12" t="inlineStr">
        <is>
          <t>24</t>
        </is>
      </c>
      <c r="E4" s="13" t="n">
        <v>0.5</v>
      </c>
      <c r="F4" s="12" t="inlineStr">
        <is>
          <t>benchmark</t>
        </is>
      </c>
      <c r="G4" s="13" t="n">
        <v>1.3</v>
      </c>
      <c r="H4" s="14">
        <f>G4-E4</f>
        <v/>
      </c>
      <c r="I4" s="9">
        <f>(G4-E4)/G4</f>
        <v/>
      </c>
      <c r="J4" s="14">
        <f>G4*0.029</f>
        <v/>
      </c>
      <c r="K4" s="14">
        <f>H4-J4</f>
        <v/>
      </c>
      <c r="L4" s="9">
        <f>K4/G4</f>
        <v/>
      </c>
      <c r="M4" s="12" t="inlineStr">
        <is>
          <t>Universal</t>
        </is>
      </c>
      <c r="N4" s="12" t="inlineStr">
        <is>
          <t>Est. — benchmark range £0.45-0.60. Slightly lighter bar, lower wholesale than Mars/Snickers.</t>
        </is>
      </c>
    </row>
    <row r="5">
      <c r="A5" s="12" t="inlineStr">
        <is>
          <t>Confectionery</t>
        </is>
      </c>
      <c r="B5" s="12" t="inlineStr">
        <is>
          <t>Twirl 43g</t>
        </is>
      </c>
      <c r="C5" s="12" t="inlineStr">
        <is>
          <t>Cadbury</t>
        </is>
      </c>
      <c r="D5" s="12" t="inlineStr">
        <is>
          <t>48</t>
        </is>
      </c>
      <c r="E5" s="13" t="n">
        <v>0.52</v>
      </c>
      <c r="F5" s="12" t="inlineStr">
        <is>
          <t>benchmark</t>
        </is>
      </c>
      <c r="G5" s="13" t="n">
        <v>1.3</v>
      </c>
      <c r="H5" s="14">
        <f>G5-E5</f>
        <v/>
      </c>
      <c r="I5" s="9">
        <f>(G5-E5)/G5</f>
        <v/>
      </c>
      <c r="J5" s="14">
        <f>G5*0.029</f>
        <v/>
      </c>
      <c r="K5" s="14">
        <f>H5-J5</f>
        <v/>
      </c>
      <c r="L5" s="9">
        <f>K5/G5</f>
        <v/>
      </c>
      <c r="M5" s="12" t="inlineStr">
        <is>
          <t>Universal</t>
        </is>
      </c>
      <c r="N5" s="12" t="inlineStr">
        <is>
          <t>Est. — benchmark range £0.45-0.60. Cadbury countline, consistent seller.</t>
        </is>
      </c>
    </row>
    <row r="6">
      <c r="A6" s="12" t="inlineStr">
        <is>
          <t>Confectionery</t>
        </is>
      </c>
      <c r="B6" s="12" t="inlineStr">
        <is>
          <t>Dairy Milk 45g</t>
        </is>
      </c>
      <c r="C6" s="12" t="inlineStr">
        <is>
          <t>Cadbury</t>
        </is>
      </c>
      <c r="D6" s="12" t="inlineStr">
        <is>
          <t>48</t>
        </is>
      </c>
      <c r="E6" s="13" t="n">
        <v>0.55</v>
      </c>
      <c r="F6" s="12" t="inlineStr">
        <is>
          <t>benchmark</t>
        </is>
      </c>
      <c r="G6" s="13" t="n">
        <v>1.4</v>
      </c>
      <c r="H6" s="14">
        <f>G6-E6</f>
        <v/>
      </c>
      <c r="I6" s="9">
        <f>(G6-E6)/G6</f>
        <v/>
      </c>
      <c r="J6" s="14">
        <f>G6*0.029</f>
        <v/>
      </c>
      <c r="K6" s="14">
        <f>H6-J6</f>
        <v/>
      </c>
      <c r="L6" s="9">
        <f>K6/G6</f>
        <v/>
      </c>
      <c r="M6" s="12" t="inlineStr">
        <is>
          <t>Universal</t>
        </is>
      </c>
      <c r="N6" s="12" t="inlineStr">
        <is>
          <t>Est. — benchmark range £0.45-0.65. Flagship Cadbury bar.</t>
        </is>
      </c>
    </row>
    <row r="7">
      <c r="A7" s="12" t="inlineStr">
        <is>
          <t>Confectionery</t>
        </is>
      </c>
      <c r="B7" s="12" t="inlineStr">
        <is>
          <t>Maltesers 37g</t>
        </is>
      </c>
      <c r="C7" s="12" t="inlineStr">
        <is>
          <t>Mars</t>
        </is>
      </c>
      <c r="D7" s="12" t="inlineStr">
        <is>
          <t>25</t>
        </is>
      </c>
      <c r="E7" s="13" t="n">
        <v>0.52</v>
      </c>
      <c r="F7" s="12" t="inlineStr">
        <is>
          <t>benchmark</t>
        </is>
      </c>
      <c r="G7" s="13" t="n">
        <v>1.3</v>
      </c>
      <c r="H7" s="14">
        <f>G7-E7</f>
        <v/>
      </c>
      <c r="I7" s="9">
        <f>(G7-E7)/G7</f>
        <v/>
      </c>
      <c r="J7" s="14">
        <f>G7*0.029</f>
        <v/>
      </c>
      <c r="K7" s="14">
        <f>H7-J7</f>
        <v/>
      </c>
      <c r="L7" s="9">
        <f>K7/G7</f>
        <v/>
      </c>
      <c r="M7" s="12" t="inlineStr">
        <is>
          <t>Universal</t>
        </is>
      </c>
      <c r="N7" s="12" t="inlineStr">
        <is>
          <t>Est. — benchmark range £0.45-0.60. Bag format, lighter weight.</t>
        </is>
      </c>
    </row>
    <row r="8">
      <c r="A8" s="12" t="inlineStr">
        <is>
          <t>Confectionery</t>
        </is>
      </c>
      <c r="B8" s="12" t="inlineStr">
        <is>
          <t>Skittles Fruits 45g</t>
        </is>
      </c>
      <c r="C8" s="12" t="inlineStr">
        <is>
          <t>Mars</t>
        </is>
      </c>
      <c r="D8" s="12" t="inlineStr">
        <is>
          <t>36</t>
        </is>
      </c>
      <c r="E8" s="13" t="n">
        <v>0.48</v>
      </c>
      <c r="F8" s="12" t="inlineStr">
        <is>
          <t>benchmark</t>
        </is>
      </c>
      <c r="G8" s="13" t="n">
        <v>1.2</v>
      </c>
      <c r="H8" s="14">
        <f>G8-E8</f>
        <v/>
      </c>
      <c r="I8" s="9">
        <f>(G8-E8)/G8</f>
        <v/>
      </c>
      <c r="J8" s="14">
        <f>G8*0.029</f>
        <v/>
      </c>
      <c r="K8" s="14">
        <f>H8-J8</f>
        <v/>
      </c>
      <c r="L8" s="9">
        <f>K8/G8</f>
        <v/>
      </c>
      <c r="M8" s="12" t="inlineStr">
        <is>
          <t>Universal</t>
        </is>
      </c>
      <c r="N8" s="12" t="inlineStr">
        <is>
          <t>Est. — benchmark range £0.40-0.55. Sugar confectionery, lower wholesale than chocolate.</t>
        </is>
      </c>
    </row>
    <row r="9">
      <c r="A9" s="12" t="inlineStr">
        <is>
          <t>Confectionery</t>
        </is>
      </c>
      <c r="B9" s="12" t="inlineStr">
        <is>
          <t>Haribo Starmix 40g</t>
        </is>
      </c>
      <c r="C9" s="12" t="inlineStr">
        <is>
          <t>Haribo</t>
        </is>
      </c>
      <c r="D9" s="12" t="inlineStr">
        <is>
          <t>36</t>
        </is>
      </c>
      <c r="E9" s="13" t="n">
        <v>0.45</v>
      </c>
      <c r="F9" s="12" t="inlineStr">
        <is>
          <t>benchmark</t>
        </is>
      </c>
      <c r="G9" s="13" t="n">
        <v>1.2</v>
      </c>
      <c r="H9" s="14">
        <f>G9-E9</f>
        <v/>
      </c>
      <c r="I9" s="9">
        <f>(G9-E9)/G9</f>
        <v/>
      </c>
      <c r="J9" s="14">
        <f>G9*0.029</f>
        <v/>
      </c>
      <c r="K9" s="14">
        <f>H9-J9</f>
        <v/>
      </c>
      <c r="L9" s="9">
        <f>K9/G9</f>
        <v/>
      </c>
      <c r="M9" s="12" t="inlineStr">
        <is>
          <t>Universal</t>
        </is>
      </c>
      <c r="N9" s="12" t="inlineStr">
        <is>
          <t>Est. — benchmark range £0.40-0.55. Grab bag format for vending.</t>
        </is>
      </c>
    </row>
    <row r="10">
      <c r="A10" s="12" t="inlineStr">
        <is>
          <t>Confectionery</t>
        </is>
      </c>
      <c r="B10" s="12" t="inlineStr">
        <is>
          <t>Kinder Bueno 43g</t>
        </is>
      </c>
      <c r="C10" s="12" t="inlineStr">
        <is>
          <t>Ferrero</t>
        </is>
      </c>
      <c r="D10" s="12" t="inlineStr">
        <is>
          <t>30</t>
        </is>
      </c>
      <c r="E10" s="13" t="n">
        <v>0.6</v>
      </c>
      <c r="F10" s="12" t="inlineStr">
        <is>
          <t>benchmark</t>
        </is>
      </c>
      <c r="G10" s="13" t="n">
        <v>1.5</v>
      </c>
      <c r="H10" s="14">
        <f>G10-E10</f>
        <v/>
      </c>
      <c r="I10" s="9">
        <f>(G10-E10)/G10</f>
        <v/>
      </c>
      <c r="J10" s="14">
        <f>G10*0.029</f>
        <v/>
      </c>
      <c r="K10" s="14">
        <f>H10-J10</f>
        <v/>
      </c>
      <c r="L10" s="9">
        <f>K10/G10</f>
        <v/>
      </c>
      <c r="M10" s="12" t="inlineStr">
        <is>
          <t>Universal</t>
        </is>
      </c>
      <c r="N10" s="12" t="inlineStr">
        <is>
          <t>Est. — benchmark range £0.55-0.70. Premium countline, higher wholesale than standard bars.</t>
        </is>
      </c>
    </row>
    <row r="11">
      <c r="A11" s="12" t="inlineStr">
        <is>
          <t>Confectionery</t>
        </is>
      </c>
      <c r="B11" s="12" t="inlineStr">
        <is>
          <t>Bounty 57g</t>
        </is>
      </c>
      <c r="C11" s="12" t="inlineStr">
        <is>
          <t>Mars</t>
        </is>
      </c>
      <c r="D11" s="12" t="inlineStr">
        <is>
          <t>24</t>
        </is>
      </c>
      <c r="E11" s="13" t="n">
        <v>0.55</v>
      </c>
      <c r="F11" s="12" t="inlineStr">
        <is>
          <t>benchmark</t>
        </is>
      </c>
      <c r="G11" s="13" t="n">
        <v>1.4</v>
      </c>
      <c r="H11" s="14">
        <f>G11-E11</f>
        <v/>
      </c>
      <c r="I11" s="9">
        <f>(G11-E11)/G11</f>
        <v/>
      </c>
      <c r="J11" s="14">
        <f>G11*0.029</f>
        <v/>
      </c>
      <c r="K11" s="14">
        <f>H11-J11</f>
        <v/>
      </c>
      <c r="L11" s="9">
        <f>K11/G11</f>
        <v/>
      </c>
      <c r="M11" s="12" t="inlineStr">
        <is>
          <t>Universal</t>
        </is>
      </c>
      <c r="N11" s="12" t="inlineStr">
        <is>
          <t>Est. — benchmark range £0.45-0.65. Twin bar, slightly heavier.</t>
        </is>
      </c>
    </row>
    <row r="12">
      <c r="A12" s="12" t="inlineStr">
        <is>
          <t>Crisps</t>
        </is>
      </c>
      <c r="B12" s="12" t="inlineStr">
        <is>
          <t>Walkers Cheese &amp; Onion Grab Bag 45g</t>
        </is>
      </c>
      <c r="C12" s="12" t="inlineStr">
        <is>
          <t>Walkers</t>
        </is>
      </c>
      <c r="D12" s="12" t="inlineStr">
        <is>
          <t>32</t>
        </is>
      </c>
      <c r="E12" s="13" t="n">
        <v>0.48</v>
      </c>
      <c r="F12" s="12" t="inlineStr">
        <is>
          <t>JJ Food Service</t>
        </is>
      </c>
      <c r="G12" s="13" t="n">
        <v>1.2</v>
      </c>
      <c r="H12" s="14">
        <f>G12-E12</f>
        <v/>
      </c>
      <c r="I12" s="9">
        <f>(G12-E12)/G12</f>
        <v/>
      </c>
      <c r="J12" s="14">
        <f>G12*0.029</f>
        <v/>
      </c>
      <c r="K12" s="14">
        <f>H12-J12</f>
        <v/>
      </c>
      <c r="L12" s="9">
        <f>K12/G12</f>
        <v/>
      </c>
      <c r="M12" s="12" t="inlineStr">
        <is>
          <t>Universal</t>
        </is>
      </c>
      <c r="N12" s="12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2" t="inlineStr">
        <is>
          <t>Crisps</t>
        </is>
      </c>
      <c r="B13" s="12" t="inlineStr">
        <is>
          <t>Walkers Ready Salted Grab Bag 45g</t>
        </is>
      </c>
      <c r="C13" s="12" t="inlineStr">
        <is>
          <t>Walkers</t>
        </is>
      </c>
      <c r="D13" s="12" t="inlineStr">
        <is>
          <t>32</t>
        </is>
      </c>
      <c r="E13" s="13" t="n">
        <v>0.48</v>
      </c>
      <c r="F13" s="12" t="inlineStr">
        <is>
          <t>JJ Food Service</t>
        </is>
      </c>
      <c r="G13" s="13" t="n">
        <v>1.2</v>
      </c>
      <c r="H13" s="14">
        <f>G13-E13</f>
        <v/>
      </c>
      <c r="I13" s="9">
        <f>(G13-E13)/G13</f>
        <v/>
      </c>
      <c r="J13" s="14">
        <f>G13*0.029</f>
        <v/>
      </c>
      <c r="K13" s="14">
        <f>H13-J13</f>
        <v/>
      </c>
      <c r="L13" s="9">
        <f>K13/G13</f>
        <v/>
      </c>
      <c r="M13" s="12" t="inlineStr">
        <is>
          <t>Universal</t>
        </is>
      </c>
      <c r="N13" s="12" t="inlineStr">
        <is>
          <t>Confirmed — JJ Food Service from £15.49/case of 32 (£0.48/bag collection price, 20+ cases). Second most popular Walkers flavour.</t>
        </is>
      </c>
    </row>
    <row r="14">
      <c r="A14" s="12" t="inlineStr">
        <is>
          <t>Crisps</t>
        </is>
      </c>
      <c r="B14" s="12" t="inlineStr">
        <is>
          <t>McCoy's Salt &amp; Vinegar Grab Bag 45g</t>
        </is>
      </c>
      <c r="C14" s="12" t="inlineStr">
        <is>
          <t>KP</t>
        </is>
      </c>
      <c r="D14" s="12" t="inlineStr">
        <is>
          <t>30</t>
        </is>
      </c>
      <c r="E14" s="13" t="n">
        <v>0.52</v>
      </c>
      <c r="F14" s="12" t="inlineStr">
        <is>
          <t>benchmark</t>
        </is>
      </c>
      <c r="G14" s="13" t="n">
        <v>1.3</v>
      </c>
      <c r="H14" s="14">
        <f>G14-E14</f>
        <v/>
      </c>
      <c r="I14" s="9">
        <f>(G14-E14)/G14</f>
        <v/>
      </c>
      <c r="J14" s="14">
        <f>G14*0.029</f>
        <v/>
      </c>
      <c r="K14" s="14">
        <f>H14-J14</f>
        <v/>
      </c>
      <c r="L14" s="9">
        <f>K14/G14</f>
        <v/>
      </c>
      <c r="M14" s="12" t="inlineStr">
        <is>
          <t>Universal</t>
        </is>
      </c>
      <c r="N14" s="12" t="inlineStr">
        <is>
          <t>Est. — benchmark range £0.45-0.60. Ridge cut, perceived premium over Walkers.</t>
        </is>
      </c>
    </row>
    <row r="15">
      <c r="A15" s="12" t="inlineStr">
        <is>
          <t>Crisps</t>
        </is>
      </c>
      <c r="B15" s="12" t="inlineStr">
        <is>
          <t>Doritos Chilli Heatwave 40g</t>
        </is>
      </c>
      <c r="C15" s="12" t="inlineStr">
        <is>
          <t>Walkers</t>
        </is>
      </c>
      <c r="D15" s="12" t="inlineStr">
        <is>
          <t>32</t>
        </is>
      </c>
      <c r="E15" s="13" t="n">
        <v>0.55</v>
      </c>
      <c r="F15" s="12" t="inlineStr">
        <is>
          <t>benchmark</t>
        </is>
      </c>
      <c r="G15" s="13" t="n">
        <v>1.4</v>
      </c>
      <c r="H15" s="14">
        <f>G15-E15</f>
        <v/>
      </c>
      <c r="I15" s="9">
        <f>(G15-E15)/G15</f>
        <v/>
      </c>
      <c r="J15" s="14">
        <f>G15*0.029</f>
        <v/>
      </c>
      <c r="K15" s="14">
        <f>H15-J15</f>
        <v/>
      </c>
      <c r="L15" s="9">
        <f>K15/G15</f>
        <v/>
      </c>
      <c r="M15" s="12" t="inlineStr">
        <is>
          <t>Universal</t>
        </is>
      </c>
      <c r="N15" s="12" t="inlineStr">
        <is>
          <t>Est. — benchmark range £0.45-0.65. Tortilla chip, popular in younger demographics.</t>
        </is>
      </c>
    </row>
    <row r="16">
      <c r="A16" s="12" t="inlineStr">
        <is>
          <t>Crisps</t>
        </is>
      </c>
      <c r="B16" s="12" t="inlineStr">
        <is>
          <t>Pom-Bear Original 19g</t>
        </is>
      </c>
      <c r="C16" s="12" t="inlineStr">
        <is>
          <t>Intersnack</t>
        </is>
      </c>
      <c r="D16" s="12" t="inlineStr">
        <is>
          <t>36</t>
        </is>
      </c>
      <c r="E16" s="13" t="n">
        <v>0.35</v>
      </c>
      <c r="F16" s="12" t="inlineStr">
        <is>
          <t>benchmark</t>
        </is>
      </c>
      <c r="G16" s="13" t="n">
        <v>1</v>
      </c>
      <c r="H16" s="14">
        <f>G16-E16</f>
        <v/>
      </c>
      <c r="I16" s="9">
        <f>(G16-E16)/G16</f>
        <v/>
      </c>
      <c r="J16" s="14">
        <f>G16*0.029</f>
        <v/>
      </c>
      <c r="K16" s="14">
        <f>H16-J16</f>
        <v/>
      </c>
      <c r="L16" s="9">
        <f>K16/G16</f>
        <v/>
      </c>
      <c r="M16" s="12" t="inlineStr">
        <is>
          <t>Leisure/Family</t>
        </is>
      </c>
      <c r="N16" s="12" t="inlineStr">
        <is>
          <t>Est. — benchmark range £0.30-0.45. Lighter pack, kid-friendly, lower price point.</t>
        </is>
      </c>
    </row>
    <row r="17">
      <c r="A17" s="12" t="inlineStr">
        <is>
          <t>Crisps</t>
        </is>
      </c>
      <c r="B17" s="12" t="inlineStr">
        <is>
          <t>Kettle Lightly Salted 40g</t>
        </is>
      </c>
      <c r="C17" s="12" t="inlineStr">
        <is>
          <t>Kettle</t>
        </is>
      </c>
      <c r="D17" s="12" t="inlineStr">
        <is>
          <t>18</t>
        </is>
      </c>
      <c r="E17" s="13" t="n">
        <v>0.65</v>
      </c>
      <c r="F17" s="12" t="inlineStr">
        <is>
          <t>benchmark</t>
        </is>
      </c>
      <c r="G17" s="13" t="n">
        <v>1.6</v>
      </c>
      <c r="H17" s="14">
        <f>G17-E17</f>
        <v/>
      </c>
      <c r="I17" s="9">
        <f>(G17-E17)/G17</f>
        <v/>
      </c>
      <c r="J17" s="14">
        <f>G17*0.029</f>
        <v/>
      </c>
      <c r="K17" s="14">
        <f>H17-J17</f>
        <v/>
      </c>
      <c r="L17" s="9">
        <f>K17/G17</f>
        <v/>
      </c>
      <c r="M17" s="12" t="inlineStr">
        <is>
          <t>Office/Premium</t>
        </is>
      </c>
      <c r="N17" s="12" t="inlineStr">
        <is>
          <t>Est. — benchmark range £0.55-0.75. Premium positioning, smaller case sizes push cost up.</t>
        </is>
      </c>
    </row>
    <row r="18">
      <c r="A18" s="12" t="inlineStr">
        <is>
          <t>Crisps</t>
        </is>
      </c>
      <c r="B18" s="12" t="inlineStr">
        <is>
          <t>Quavers Cheese 34g</t>
        </is>
      </c>
      <c r="C18" s="12" t="inlineStr">
        <is>
          <t>Walkers</t>
        </is>
      </c>
      <c r="D18" s="12" t="inlineStr">
        <is>
          <t>32</t>
        </is>
      </c>
      <c r="E18" s="13" t="n">
        <v>0.45</v>
      </c>
      <c r="F18" s="12" t="inlineStr">
        <is>
          <t>benchmark</t>
        </is>
      </c>
      <c r="G18" s="13" t="n">
        <v>1.1</v>
      </c>
      <c r="H18" s="14">
        <f>G18-E18</f>
        <v/>
      </c>
      <c r="I18" s="9">
        <f>(G18-E18)/G18</f>
        <v/>
      </c>
      <c r="J18" s="14">
        <f>G18*0.029</f>
        <v/>
      </c>
      <c r="K18" s="14">
        <f>H18-J18</f>
        <v/>
      </c>
      <c r="L18" s="9">
        <f>K18/G18</f>
        <v/>
      </c>
      <c r="M18" s="12" t="inlineStr">
        <is>
          <t>Universal</t>
        </is>
      </c>
      <c r="N18" s="12" t="inlineStr">
        <is>
          <t>Est. — benchmark range £0.38-0.55. Lighter snack, grab bag format.</t>
        </is>
      </c>
    </row>
    <row r="19">
      <c r="A19" s="12" t="inlineStr">
        <is>
          <t>Crisps</t>
        </is>
      </c>
      <c r="B19" s="12" t="inlineStr">
        <is>
          <t>Wotsits Really Cheesy 36g</t>
        </is>
      </c>
      <c r="C19" s="12" t="inlineStr">
        <is>
          <t>Walkers</t>
        </is>
      </c>
      <c r="D19" s="12" t="inlineStr">
        <is>
          <t>32</t>
        </is>
      </c>
      <c r="E19" s="13" t="n">
        <v>0.45</v>
      </c>
      <c r="F19" s="12" t="inlineStr">
        <is>
          <t>benchmark</t>
        </is>
      </c>
      <c r="G19" s="13" t="n">
        <v>1.1</v>
      </c>
      <c r="H19" s="14">
        <f>G19-E19</f>
        <v/>
      </c>
      <c r="I19" s="9">
        <f>(G19-E19)/G19</f>
        <v/>
      </c>
      <c r="J19" s="14">
        <f>G19*0.029</f>
        <v/>
      </c>
      <c r="K19" s="14">
        <f>H19-J19</f>
        <v/>
      </c>
      <c r="L19" s="9">
        <f>K19/G19</f>
        <v/>
      </c>
      <c r="M19" s="12" t="inlineStr">
        <is>
          <t>Universal</t>
        </is>
      </c>
      <c r="N19" s="12" t="inlineStr">
        <is>
          <t>Est. — benchmark range £0.38-0.55. Grab bag format for vending.</t>
        </is>
      </c>
    </row>
    <row r="20">
      <c r="A20" s="12" t="inlineStr">
        <is>
          <t>Cold Drinks</t>
        </is>
      </c>
      <c r="B20" s="12" t="inlineStr">
        <is>
          <t>Coca-Cola Original 330ml Can</t>
        </is>
      </c>
      <c r="C20" s="12" t="inlineStr">
        <is>
          <t>Coca-Cola</t>
        </is>
      </c>
      <c r="D20" s="12" t="inlineStr">
        <is>
          <t>24</t>
        </is>
      </c>
      <c r="E20" s="13" t="n">
        <v>0.54</v>
      </c>
      <c r="F20" s="12" t="inlineStr">
        <is>
          <t>MX Wholesale</t>
        </is>
      </c>
      <c r="G20" s="13" t="n">
        <v>1.3</v>
      </c>
      <c r="H20" s="14">
        <f>G20-E20</f>
        <v/>
      </c>
      <c r="I20" s="9">
        <f>(G20-E20)/G20</f>
        <v/>
      </c>
      <c r="J20" s="14">
        <f>G20*0.029</f>
        <v/>
      </c>
      <c r="K20" s="14">
        <f>H20-J20</f>
        <v/>
      </c>
      <c r="L20" s="9">
        <f>K20/G20</f>
        <v/>
      </c>
      <c r="M20" s="12" t="inlineStr">
        <is>
          <t>Universal</t>
        </is>
      </c>
      <c r="N20" s="12" t="inlineStr">
        <is>
          <t>Confirmed — MX Wholesale £13.00/case of 24 (£0.54/can). Other suppliers £9.99-£13.00/case. Number one selling vending SKU in UK.</t>
        </is>
      </c>
    </row>
    <row r="21">
      <c r="A21" s="12" t="inlineStr">
        <is>
          <t>Cold Drinks</t>
        </is>
      </c>
      <c r="B21" s="12" t="inlineStr">
        <is>
          <t>Diet Coke 330ml Can</t>
        </is>
      </c>
      <c r="C21" s="12" t="inlineStr">
        <is>
          <t>Coca-Cola</t>
        </is>
      </c>
      <c r="D21" s="12" t="inlineStr">
        <is>
          <t>24</t>
        </is>
      </c>
      <c r="E21" s="13" t="n">
        <v>0.45</v>
      </c>
      <c r="F21" s="12" t="inlineStr">
        <is>
          <t>benchmark</t>
        </is>
      </c>
      <c r="G21" s="13" t="n">
        <v>1.3</v>
      </c>
      <c r="H21" s="14">
        <f>G21-E21</f>
        <v/>
      </c>
      <c r="I21" s="9">
        <f>(G21-E21)/G21</f>
        <v/>
      </c>
      <c r="J21" s="14">
        <f>G21*0.029</f>
        <v/>
      </c>
      <c r="K21" s="14">
        <f>H21-J21</f>
        <v/>
      </c>
      <c r="L21" s="9">
        <f>K21/G21</f>
        <v/>
      </c>
      <c r="M21" s="12" t="inlineStr">
        <is>
          <t>Universal</t>
        </is>
      </c>
      <c r="N21" s="12" t="inlineStr">
        <is>
          <t>Est. — benchmark range £0.40-0.55. Strong office performer.</t>
        </is>
      </c>
    </row>
    <row r="22">
      <c r="A22" s="12" t="inlineStr">
        <is>
          <t>Cold Drinks</t>
        </is>
      </c>
      <c r="B22" s="12" t="inlineStr">
        <is>
          <t>Fanta Orange 330ml Can</t>
        </is>
      </c>
      <c r="C22" s="12" t="inlineStr">
        <is>
          <t>Coca-Cola</t>
        </is>
      </c>
      <c r="D22" s="12" t="inlineStr">
        <is>
          <t>24</t>
        </is>
      </c>
      <c r="E22" s="13" t="n">
        <v>0.42</v>
      </c>
      <c r="F22" s="12" t="inlineStr">
        <is>
          <t>benchmark</t>
        </is>
      </c>
      <c r="G22" s="13" t="n">
        <v>1.2</v>
      </c>
      <c r="H22" s="14">
        <f>G22-E22</f>
        <v/>
      </c>
      <c r="I22" s="9">
        <f>(G22-E22)/G22</f>
        <v/>
      </c>
      <c r="J22" s="14">
        <f>G22*0.029</f>
        <v/>
      </c>
      <c r="K22" s="14">
        <f>H22-J22</f>
        <v/>
      </c>
      <c r="L22" s="9">
        <f>K22/G22</f>
        <v/>
      </c>
      <c r="M22" s="12" t="inlineStr">
        <is>
          <t>Universal</t>
        </is>
      </c>
      <c r="N22" s="12" t="inlineStr">
        <is>
          <t>Est. — benchmark range £0.38-0.50. Third in Coca-Cola range.</t>
        </is>
      </c>
    </row>
    <row r="23">
      <c r="A23" s="12" t="inlineStr">
        <is>
          <t>Cold Drinks</t>
        </is>
      </c>
      <c r="B23" s="12" t="inlineStr">
        <is>
          <t>Pepsi 330ml Can</t>
        </is>
      </c>
      <c r="C23" s="12" t="inlineStr">
        <is>
          <t>PepsiCo</t>
        </is>
      </c>
      <c r="D23" s="12" t="inlineStr">
        <is>
          <t>24</t>
        </is>
      </c>
      <c r="E23" s="13" t="n">
        <v>0.4</v>
      </c>
      <c r="F23" s="12" t="inlineStr">
        <is>
          <t>benchmark</t>
        </is>
      </c>
      <c r="G23" s="13" t="n">
        <v>1.2</v>
      </c>
      <c r="H23" s="14">
        <f>G23-E23</f>
        <v/>
      </c>
      <c r="I23" s="9">
        <f>(G23-E23)/G23</f>
        <v/>
      </c>
      <c r="J23" s="14">
        <f>G23*0.029</f>
        <v/>
      </c>
      <c r="K23" s="14">
        <f>H23-J23</f>
        <v/>
      </c>
      <c r="L23" s="9">
        <f>K23/G23</f>
        <v/>
      </c>
      <c r="M23" s="12" t="inlineStr">
        <is>
          <t>Universal</t>
        </is>
      </c>
      <c r="N23" s="12" t="inlineStr">
        <is>
          <t>Est. — benchmark range £0.35-0.50. Often slightly cheaper wholesale than Coke.</t>
        </is>
      </c>
    </row>
    <row r="24">
      <c r="A24" s="12" t="inlineStr">
        <is>
          <t>Cold Drinks</t>
        </is>
      </c>
      <c r="B24" s="12" t="inlineStr">
        <is>
          <t>7Up 330ml Can</t>
        </is>
      </c>
      <c r="C24" s="12" t="inlineStr">
        <is>
          <t>PepsiCo</t>
        </is>
      </c>
      <c r="D24" s="12" t="inlineStr">
        <is>
          <t>24</t>
        </is>
      </c>
      <c r="E24" s="13" t="n">
        <v>0.4</v>
      </c>
      <c r="F24" s="12" t="inlineStr">
        <is>
          <t>benchmark</t>
        </is>
      </c>
      <c r="G24" s="13" t="n">
        <v>1.2</v>
      </c>
      <c r="H24" s="14">
        <f>G24-E24</f>
        <v/>
      </c>
      <c r="I24" s="9">
        <f>(G24-E24)/G24</f>
        <v/>
      </c>
      <c r="J24" s="14">
        <f>G24*0.029</f>
        <v/>
      </c>
      <c r="K24" s="14">
        <f>H24-J24</f>
        <v/>
      </c>
      <c r="L24" s="9">
        <f>K24/G24</f>
        <v/>
      </c>
      <c r="M24" s="12" t="inlineStr">
        <is>
          <t>Universal</t>
        </is>
      </c>
      <c r="N24" s="12" t="inlineStr">
        <is>
          <t>Est. — benchmark range £0.35-0.50. Lemon-lime alternative.</t>
        </is>
      </c>
    </row>
    <row r="25">
      <c r="A25" s="12" t="inlineStr">
        <is>
          <t>Cold Drinks</t>
        </is>
      </c>
      <c r="B25" s="12" t="inlineStr">
        <is>
          <t>Lucozade Original 380ml</t>
        </is>
      </c>
      <c r="C25" s="12" t="inlineStr">
        <is>
          <t>Suntory</t>
        </is>
      </c>
      <c r="D25" s="12" t="inlineStr">
        <is>
          <t>24</t>
        </is>
      </c>
      <c r="E25" s="13" t="n">
        <v>0.65</v>
      </c>
      <c r="F25" s="12" t="inlineStr">
        <is>
          <t>benchmark</t>
        </is>
      </c>
      <c r="G25" s="13" t="n">
        <v>1.6</v>
      </c>
      <c r="H25" s="14">
        <f>G25-E25</f>
        <v/>
      </c>
      <c r="I25" s="9">
        <f>(G25-E25)/G25</f>
        <v/>
      </c>
      <c r="J25" s="14">
        <f>G25*0.029</f>
        <v/>
      </c>
      <c r="K25" s="14">
        <f>H25-J25</f>
        <v/>
      </c>
      <c r="L25" s="9">
        <f>K25/G25</f>
        <v/>
      </c>
      <c r="M25" s="12" t="inlineStr">
        <is>
          <t>Universal</t>
        </is>
      </c>
      <c r="N25" s="12" t="inlineStr">
        <is>
          <t>Est. — benchmark range £0.55-0.75. Bottle format, higher wholesale than cans. HFSS note.</t>
        </is>
      </c>
    </row>
    <row r="26">
      <c r="A26" s="12" t="inlineStr">
        <is>
          <t>Cold Drinks</t>
        </is>
      </c>
      <c r="B26" s="12" t="inlineStr">
        <is>
          <t>Lipton Iced Tea Peach 330ml Can</t>
        </is>
      </c>
      <c r="C26" s="12" t="inlineStr">
        <is>
          <t>PepsiCo</t>
        </is>
      </c>
      <c r="D26" s="12" t="inlineStr">
        <is>
          <t>24</t>
        </is>
      </c>
      <c r="E26" s="13" t="n">
        <v>0.55</v>
      </c>
      <c r="F26" s="12" t="inlineStr">
        <is>
          <t>benchmark</t>
        </is>
      </c>
      <c r="G26" s="13" t="n">
        <v>1.8</v>
      </c>
      <c r="H26" s="14">
        <f>G26-E26</f>
        <v/>
      </c>
      <c r="I26" s="9">
        <f>(G26-E26)/G26</f>
        <v/>
      </c>
      <c r="J26" s="14">
        <f>G26*0.029</f>
        <v/>
      </c>
      <c r="K26" s="14">
        <f>H26-J26</f>
        <v/>
      </c>
      <c r="L26" s="9">
        <f>K26/G26</f>
        <v/>
      </c>
      <c r="M26" s="12" t="inlineStr">
        <is>
          <t>Office/Premium</t>
        </is>
      </c>
      <c r="N26" s="12" t="inlineStr">
        <is>
          <t>Confirmed vend price £1.80 (user data). Wholesale est. £0.50-0.65. Growing category.</t>
        </is>
      </c>
    </row>
    <row r="27">
      <c r="A27" s="12" t="inlineStr">
        <is>
          <t>Cold Drinks</t>
        </is>
      </c>
      <c r="B27" s="12" t="inlineStr">
        <is>
          <t>Monster Energy 500ml Can</t>
        </is>
      </c>
      <c r="C27" s="12" t="inlineStr">
        <is>
          <t>Monster</t>
        </is>
      </c>
      <c r="D27" s="12" t="inlineStr">
        <is>
          <t>12</t>
        </is>
      </c>
      <c r="E27" s="13" t="n">
        <v>0.82</v>
      </c>
      <c r="F27" s="12" t="inlineStr">
        <is>
          <t>Bestway</t>
        </is>
      </c>
      <c r="G27" s="13" t="n">
        <v>2</v>
      </c>
      <c r="H27" s="14">
        <f>G27-E27</f>
        <v/>
      </c>
      <c r="I27" s="9">
        <f>(G27-E27)/G27</f>
        <v/>
      </c>
      <c r="J27" s="14">
        <f>G27*0.029</f>
        <v/>
      </c>
      <c r="K27" s="14">
        <f>H27-J27</f>
        <v/>
      </c>
      <c r="L27" s="9">
        <f>K27/G27</f>
        <v/>
      </c>
      <c r="M27" s="12" t="inlineStr">
        <is>
          <t>Universal</t>
        </is>
      </c>
      <c r="N27" s="12" t="inlineStr">
        <is>
          <t>Confirmed — Bestway £9.89/case of 12 (£0.82/can). PMP £1.65-£1.75. Vend price above PMP acceptable in captive locations.</t>
        </is>
      </c>
    </row>
    <row r="28">
      <c r="A28" s="12" t="inlineStr">
        <is>
          <t>Cold Drinks</t>
        </is>
      </c>
      <c r="B28" s="12" t="inlineStr">
        <is>
          <t>Red Bull 250ml Can</t>
        </is>
      </c>
      <c r="C28" s="12" t="inlineStr">
        <is>
          <t>Red Bull</t>
        </is>
      </c>
      <c r="D28" s="12" t="inlineStr">
        <is>
          <t>24</t>
        </is>
      </c>
      <c r="E28" s="13" t="n">
        <v>1.35</v>
      </c>
      <c r="F28" s="12" t="inlineStr">
        <is>
          <t>MX Wholesale</t>
        </is>
      </c>
      <c r="G28" s="13" t="n">
        <v>2</v>
      </c>
      <c r="H28" s="14">
        <f>G28-E28</f>
        <v/>
      </c>
      <c r="I28" s="9">
        <f>(G28-E28)/G28</f>
        <v/>
      </c>
      <c r="J28" s="14">
        <f>G28*0.029</f>
        <v/>
      </c>
      <c r="K28" s="14">
        <f>H28-J28</f>
        <v/>
      </c>
      <c r="L28" s="9">
        <f>K28/G28</f>
        <v/>
      </c>
      <c r="M28" s="12" t="inlineStr">
        <is>
          <t>Office/Gym</t>
        </is>
      </c>
      <c r="N28" s="12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2" t="inlineStr">
        <is>
          <t>Cold Drinks</t>
        </is>
      </c>
      <c r="B29" s="12" t="inlineStr">
        <is>
          <t>Oasis Citrus Punch 500ml</t>
        </is>
      </c>
      <c r="C29" s="12" t="inlineStr">
        <is>
          <t>Coca-Cola</t>
        </is>
      </c>
      <c r="D29" s="12" t="inlineStr">
        <is>
          <t>12</t>
        </is>
      </c>
      <c r="E29" s="13" t="n">
        <v>0.55</v>
      </c>
      <c r="F29" s="12" t="inlineStr">
        <is>
          <t>benchmark</t>
        </is>
      </c>
      <c r="G29" s="13" t="n">
        <v>1.4</v>
      </c>
      <c r="H29" s="14">
        <f>G29-E29</f>
        <v/>
      </c>
      <c r="I29" s="9">
        <f>(G29-E29)/G29</f>
        <v/>
      </c>
      <c r="J29" s="14">
        <f>G29*0.029</f>
        <v/>
      </c>
      <c r="K29" s="14">
        <f>H29-J29</f>
        <v/>
      </c>
      <c r="L29" s="9">
        <f>K29/G29</f>
        <v/>
      </c>
      <c r="M29" s="12" t="inlineStr">
        <is>
          <t>Universal</t>
        </is>
      </c>
      <c r="N29" s="12" t="inlineStr">
        <is>
          <t>Est. — benchmark range £0.45-0.65. Juice drink, 500ml bottle.</t>
        </is>
      </c>
    </row>
    <row r="30">
      <c r="A30" s="12" t="inlineStr">
        <is>
          <t>Water</t>
        </is>
      </c>
      <c r="B30" s="12" t="inlineStr">
        <is>
          <t>Highland Spring Still 500ml</t>
        </is>
      </c>
      <c r="C30" s="12" t="inlineStr">
        <is>
          <t>Highland Spring</t>
        </is>
      </c>
      <c r="D30" s="12" t="inlineStr">
        <is>
          <t>24</t>
        </is>
      </c>
      <c r="E30" s="13" t="n">
        <v>0.22</v>
      </c>
      <c r="F30" s="12" t="inlineStr">
        <is>
          <t>benchmark</t>
        </is>
      </c>
      <c r="G30" s="13" t="n">
        <v>1</v>
      </c>
      <c r="H30" s="14">
        <f>G30-E30</f>
        <v/>
      </c>
      <c r="I30" s="9">
        <f>(G30-E30)/G30</f>
        <v/>
      </c>
      <c r="J30" s="14">
        <f>G30*0.029</f>
        <v/>
      </c>
      <c r="K30" s="14">
        <f>H30-J30</f>
        <v/>
      </c>
      <c r="L30" s="9">
        <f>K30/G30</f>
        <v/>
      </c>
      <c r="M30" s="12" t="inlineStr">
        <is>
          <t>Universal</t>
        </is>
      </c>
      <c r="N30" s="12" t="inlineStr">
        <is>
          <t>Est. — benchmark range £0.18-0.30. Best margin category in vending. Scottish water, strong UK brand.</t>
        </is>
      </c>
    </row>
    <row r="31">
      <c r="A31" s="12" t="inlineStr">
        <is>
          <t>Water</t>
        </is>
      </c>
      <c r="B31" s="12" t="inlineStr">
        <is>
          <t>Highland Spring Sparkling 500ml</t>
        </is>
      </c>
      <c r="C31" s="12" t="inlineStr">
        <is>
          <t>Highland Spring</t>
        </is>
      </c>
      <c r="D31" s="12" t="inlineStr">
        <is>
          <t>24</t>
        </is>
      </c>
      <c r="E31" s="13" t="n">
        <v>0.22</v>
      </c>
      <c r="F31" s="12" t="inlineStr">
        <is>
          <t>benchmark</t>
        </is>
      </c>
      <c r="G31" s="13" t="n">
        <v>1</v>
      </c>
      <c r="H31" s="14">
        <f>G31-E31</f>
        <v/>
      </c>
      <c r="I31" s="9">
        <f>(G31-E31)/G31</f>
        <v/>
      </c>
      <c r="J31" s="14">
        <f>G31*0.029</f>
        <v/>
      </c>
      <c r="K31" s="14">
        <f>H31-J31</f>
        <v/>
      </c>
      <c r="L31" s="9">
        <f>K31/G31</f>
        <v/>
      </c>
      <c r="M31" s="12" t="inlineStr">
        <is>
          <t>Office</t>
        </is>
      </c>
      <c r="N31" s="12" t="inlineStr">
        <is>
          <t>Est. — benchmark range £0.18-0.30. Lower volume than still but good margin.</t>
        </is>
      </c>
    </row>
    <row r="32">
      <c r="A32" s="12" t="inlineStr">
        <is>
          <t>Water</t>
        </is>
      </c>
      <c r="B32" s="12" t="inlineStr">
        <is>
          <t>Evian 500ml</t>
        </is>
      </c>
      <c r="C32" s="12" t="inlineStr">
        <is>
          <t>Danone</t>
        </is>
      </c>
      <c r="D32" s="12" t="inlineStr">
        <is>
          <t>24</t>
        </is>
      </c>
      <c r="E32" s="13" t="n">
        <v>0.3</v>
      </c>
      <c r="F32" s="12" t="inlineStr">
        <is>
          <t>benchmark</t>
        </is>
      </c>
      <c r="G32" s="13" t="n">
        <v>1.2</v>
      </c>
      <c r="H32" s="14">
        <f>G32-E32</f>
        <v/>
      </c>
      <c r="I32" s="9">
        <f>(G32-E32)/G32</f>
        <v/>
      </c>
      <c r="J32" s="14">
        <f>G32*0.029</f>
        <v/>
      </c>
      <c r="K32" s="14">
        <f>H32-J32</f>
        <v/>
      </c>
      <c r="L32" s="9">
        <f>K32/G32</f>
        <v/>
      </c>
      <c r="M32" s="12" t="inlineStr">
        <is>
          <t>Office/Premium</t>
        </is>
      </c>
      <c r="N32" s="12" t="inlineStr">
        <is>
          <t>Est. — benchmark range £0.25-0.38. Premium water, higher wholesale but supports higher vend price.</t>
        </is>
      </c>
    </row>
    <row r="33">
      <c r="A33" s="12" t="inlineStr">
        <is>
          <t>Water</t>
        </is>
      </c>
      <c r="B33" s="12" t="inlineStr">
        <is>
          <t>Volvic 500ml</t>
        </is>
      </c>
      <c r="C33" s="12" t="inlineStr">
        <is>
          <t>Danone</t>
        </is>
      </c>
      <c r="D33" s="12" t="inlineStr">
        <is>
          <t>24</t>
        </is>
      </c>
      <c r="E33" s="13" t="n">
        <v>0.28</v>
      </c>
      <c r="F33" s="12" t="inlineStr">
        <is>
          <t>benchmark</t>
        </is>
      </c>
      <c r="G33" s="13" t="n">
        <v>1.1</v>
      </c>
      <c r="H33" s="14">
        <f>G33-E33</f>
        <v/>
      </c>
      <c r="I33" s="9">
        <f>(G33-E33)/G33</f>
        <v/>
      </c>
      <c r="J33" s="14">
        <f>G33*0.029</f>
        <v/>
      </c>
      <c r="K33" s="14">
        <f>H33-J33</f>
        <v/>
      </c>
      <c r="L33" s="9">
        <f>K33/G33</f>
        <v/>
      </c>
      <c r="M33" s="12" t="inlineStr">
        <is>
          <t>Universal</t>
        </is>
      </c>
      <c r="N33" s="12" t="inlineStr">
        <is>
          <t>Est. — benchmark range £0.22-0.35. Mid-range positioning between Highland Spring and Evian.</t>
        </is>
      </c>
    </row>
    <row r="34">
      <c r="A34" s="12" t="inlineStr">
        <is>
          <t>Protein/Health</t>
        </is>
      </c>
      <c r="B34" s="12" t="inlineStr">
        <is>
          <t>Grenade Carb Killa Cookie Dough 60g</t>
        </is>
      </c>
      <c r="C34" s="12" t="inlineStr">
        <is>
          <t>Grenade</t>
        </is>
      </c>
      <c r="D34" s="12" t="inlineStr">
        <is>
          <t>12</t>
        </is>
      </c>
      <c r="E34" s="13" t="n">
        <v>1.68</v>
      </c>
      <c r="F34" s="12" t="inlineStr">
        <is>
          <t>Brakes</t>
        </is>
      </c>
      <c r="G34" s="13" t="n">
        <v>2.8</v>
      </c>
      <c r="H34" s="14">
        <f>G34-E34</f>
        <v/>
      </c>
      <c r="I34" s="9">
        <f>(G34-E34)/G34</f>
        <v/>
      </c>
      <c r="J34" s="14">
        <f>G34*0.029</f>
        <v/>
      </c>
      <c r="K34" s="14">
        <f>H34-J34</f>
        <v/>
      </c>
      <c r="L34" s="9">
        <f>K34/G34</f>
        <v/>
      </c>
      <c r="M34" s="12" t="inlineStr">
        <is>
          <t>Gym/Office</t>
        </is>
      </c>
      <c r="N34" s="12" t="inlineStr">
        <is>
          <t>Confirmed — Brakes £20.13/case of 12 (£1.68/bar). PriceSpy best price £18.99/12 (£1.58). Top protein bar in UK.</t>
        </is>
      </c>
    </row>
    <row r="35">
      <c r="A35" s="12" t="inlineStr">
        <is>
          <t>Protein/Health</t>
        </is>
      </c>
      <c r="B35" s="12" t="inlineStr">
        <is>
          <t>Grenade Carb Killa Oreo 60g</t>
        </is>
      </c>
      <c r="C35" s="12" t="inlineStr">
        <is>
          <t>Grenade</t>
        </is>
      </c>
      <c r="D35" s="12" t="inlineStr">
        <is>
          <t>12</t>
        </is>
      </c>
      <c r="E35" s="13" t="n">
        <v>1.69</v>
      </c>
      <c r="F35" s="12" t="inlineStr">
        <is>
          <t>Brakes</t>
        </is>
      </c>
      <c r="G35" s="13" t="n">
        <v>2.8</v>
      </c>
      <c r="H35" s="14">
        <f>G35-E35</f>
        <v/>
      </c>
      <c r="I35" s="9">
        <f>(G35-E35)/G35</f>
        <v/>
      </c>
      <c r="J35" s="14">
        <f>G35*0.029</f>
        <v/>
      </c>
      <c r="K35" s="14">
        <f>H35-J35</f>
        <v/>
      </c>
      <c r="L35" s="9">
        <f>K35/G35</f>
        <v/>
      </c>
      <c r="M35" s="12" t="inlineStr">
        <is>
          <t>Gym/Office</t>
        </is>
      </c>
      <c r="N35" s="12" t="inlineStr">
        <is>
          <t>Confirmed — Brakes £20.28/case of 12 (£1.69/bar). Second most popular Grenade flavour.</t>
        </is>
      </c>
    </row>
    <row r="36">
      <c r="A36" s="12" t="inlineStr">
        <is>
          <t>Protein/Health</t>
        </is>
      </c>
      <c r="B36" s="12" t="inlineStr">
        <is>
          <t>Trek Protein Flapjack Cocoa Oat 50g</t>
        </is>
      </c>
      <c r="C36" s="12" t="inlineStr">
        <is>
          <t>Trek</t>
        </is>
      </c>
      <c r="D36" s="12" t="inlineStr">
        <is>
          <t>16</t>
        </is>
      </c>
      <c r="E36" s="13" t="n">
        <v>0.85</v>
      </c>
      <c r="F36" s="12" t="inlineStr">
        <is>
          <t>benchmark</t>
        </is>
      </c>
      <c r="G36" s="13" t="n">
        <v>1.8</v>
      </c>
      <c r="H36" s="14">
        <f>G36-E36</f>
        <v/>
      </c>
      <c r="I36" s="9">
        <f>(G36-E36)/G36</f>
        <v/>
      </c>
      <c r="J36" s="14">
        <f>G36*0.029</f>
        <v/>
      </c>
      <c r="K36" s="14">
        <f>H36-J36</f>
        <v/>
      </c>
      <c r="L36" s="9">
        <f>K36/G36</f>
        <v/>
      </c>
      <c r="M36" s="12" t="inlineStr">
        <is>
          <t>Office/Gym</t>
        </is>
      </c>
      <c r="N36" s="12" t="inlineStr">
        <is>
          <t>Est. — benchmark range £0.75-1.00. Vegan, lower wholesale than Grenade. Plant-based appeal.</t>
        </is>
      </c>
    </row>
    <row r="37">
      <c r="A37" s="12" t="inlineStr">
        <is>
          <t>Protein/Health</t>
        </is>
      </c>
      <c r="B37" s="12" t="inlineStr">
        <is>
          <t>Nakd Cocoa Delight 35g</t>
        </is>
      </c>
      <c r="C37" s="12" t="inlineStr">
        <is>
          <t>Nakd</t>
        </is>
      </c>
      <c r="D37" s="12" t="inlineStr">
        <is>
          <t>18</t>
        </is>
      </c>
      <c r="E37" s="13" t="n">
        <v>0.55</v>
      </c>
      <c r="F37" s="12" t="inlineStr">
        <is>
          <t>benchmark</t>
        </is>
      </c>
      <c r="G37" s="13" t="n">
        <v>1.4</v>
      </c>
      <c r="H37" s="14">
        <f>G37-E37</f>
        <v/>
      </c>
      <c r="I37" s="9">
        <f>(G37-E37)/G37</f>
        <v/>
      </c>
      <c r="J37" s="14">
        <f>G37*0.029</f>
        <v/>
      </c>
      <c r="K37" s="14">
        <f>H37-J37</f>
        <v/>
      </c>
      <c r="L37" s="9">
        <f>K37/G37</f>
        <v/>
      </c>
      <c r="M37" s="12" t="inlineStr">
        <is>
          <t>Office/Health</t>
        </is>
      </c>
      <c r="N37" s="12" t="inlineStr">
        <is>
          <t>Est. — benchmark range £0.45-0.65. Raw fruit/nut bar, lighter weight. Vegan, gluten-free.</t>
        </is>
      </c>
    </row>
    <row r="38">
      <c r="A38" s="12" t="inlineStr">
        <is>
          <t>Protein/Health</t>
        </is>
      </c>
      <c r="B38" s="12" t="inlineStr">
        <is>
          <t>Fulfil Chocolate &amp; Hazelnut 55g</t>
        </is>
      </c>
      <c r="C38" s="12" t="inlineStr">
        <is>
          <t>Fulfil</t>
        </is>
      </c>
      <c r="D38" s="12" t="inlineStr">
        <is>
          <t>15</t>
        </is>
      </c>
      <c r="E38" s="13" t="n">
        <v>1.3</v>
      </c>
      <c r="F38" s="12" t="inlineStr">
        <is>
          <t>benchmark</t>
        </is>
      </c>
      <c r="G38" s="13" t="n">
        <v>2.5</v>
      </c>
      <c r="H38" s="14">
        <f>G38-E38</f>
        <v/>
      </c>
      <c r="I38" s="9">
        <f>(G38-E38)/G38</f>
        <v/>
      </c>
      <c r="J38" s="14">
        <f>G38*0.029</f>
        <v/>
      </c>
      <c r="K38" s="14">
        <f>H38-J38</f>
        <v/>
      </c>
      <c r="L38" s="9">
        <f>K38/G38</f>
        <v/>
      </c>
      <c r="M38" s="12" t="inlineStr">
        <is>
          <t>Gym/Office</t>
        </is>
      </c>
      <c r="N38" s="12" t="inlineStr">
        <is>
          <t>Est. — benchmark range £1.10-1.50. Vitamin-enriched protein bar. Growing brand.</t>
        </is>
      </c>
    </row>
    <row r="39">
      <c r="A39" s="12" t="inlineStr">
        <is>
          <t>Protein/Health</t>
        </is>
      </c>
      <c r="B39" s="12" t="inlineStr">
        <is>
          <t>Optimum Nutrition Protein Shake Chocolate 330ml</t>
        </is>
      </c>
      <c r="C39" s="12" t="inlineStr">
        <is>
          <t>ON</t>
        </is>
      </c>
      <c r="D39" s="12" t="inlineStr">
        <is>
          <t>10</t>
        </is>
      </c>
      <c r="E39" s="13" t="n">
        <v>1.8</v>
      </c>
      <c r="F39" s="12" t="inlineStr">
        <is>
          <t>benchmark</t>
        </is>
      </c>
      <c r="G39" s="13" t="n">
        <v>3.5</v>
      </c>
      <c r="H39" s="14">
        <f>G39-E39</f>
        <v/>
      </c>
      <c r="I39" s="9">
        <f>(G39-E39)/G39</f>
        <v/>
      </c>
      <c r="J39" s="14">
        <f>G39*0.029</f>
        <v/>
      </c>
      <c r="K39" s="14">
        <f>H39-J39</f>
        <v/>
      </c>
      <c r="L39" s="9">
        <f>K39/G39</f>
        <v/>
      </c>
      <c r="M39" s="12" t="inlineStr">
        <is>
          <t>Gym</t>
        </is>
      </c>
      <c r="N39" s="12" t="inlineStr">
        <is>
          <t>Est. — benchmark range £1.60-2.00. RTD shake, heavy/bulky. Needs bottom row in machine. Gym-primary.</t>
        </is>
      </c>
    </row>
    <row r="40">
      <c r="A40" s="12" t="inlineStr">
        <is>
          <t>Protein/Health</t>
        </is>
      </c>
      <c r="B40" s="12" t="inlineStr">
        <is>
          <t>Grenade Protein Shake Chocolate Insanity 330ml</t>
        </is>
      </c>
      <c r="C40" s="12" t="inlineStr">
        <is>
          <t>Grenade</t>
        </is>
      </c>
      <c r="D40" s="12" t="inlineStr">
        <is>
          <t>8</t>
        </is>
      </c>
      <c r="E40" s="13" t="n">
        <v>1.6</v>
      </c>
      <c r="F40" s="12" t="inlineStr">
        <is>
          <t>benchmark</t>
        </is>
      </c>
      <c r="G40" s="13" t="n">
        <v>3</v>
      </c>
      <c r="H40" s="14">
        <f>G40-E40</f>
        <v/>
      </c>
      <c r="I40" s="9">
        <f>(G40-E40)/G40</f>
        <v/>
      </c>
      <c r="J40" s="14">
        <f>G40*0.029</f>
        <v/>
      </c>
      <c r="K40" s="14">
        <f>H40-J40</f>
        <v/>
      </c>
      <c r="L40" s="9">
        <f>K40/G40</f>
        <v/>
      </c>
      <c r="M40" s="12" t="inlineStr">
        <is>
          <t>Gym</t>
        </is>
      </c>
      <c r="N40" s="12" t="inlineStr">
        <is>
          <t>Est. — benchmark range £1.40-1.80. RTD shake, smaller case size. Gym-primary location.</t>
        </is>
      </c>
    </row>
    <row r="41">
      <c r="A41" s="12" t="inlineStr">
        <is>
          <t>Protein/Health</t>
        </is>
      </c>
      <c r="B41" s="12" t="inlineStr">
        <is>
          <t>Barebells Protein Bar Salty Peanut 55g</t>
        </is>
      </c>
      <c r="C41" s="12" t="inlineStr">
        <is>
          <t>Barebells</t>
        </is>
      </c>
      <c r="D41" s="12" t="inlineStr">
        <is>
          <t>12</t>
        </is>
      </c>
      <c r="E41" s="13" t="n">
        <v>1.35</v>
      </c>
      <c r="F41" s="12" t="inlineStr">
        <is>
          <t>benchmark</t>
        </is>
      </c>
      <c r="G41" s="13" t="n">
        <v>2.8</v>
      </c>
      <c r="H41" s="14">
        <f>G41-E41</f>
        <v/>
      </c>
      <c r="I41" s="9">
        <f>(G41-E41)/G41</f>
        <v/>
      </c>
      <c r="J41" s="14">
        <f>G41*0.029</f>
        <v/>
      </c>
      <c r="K41" s="14">
        <f>H41-J41</f>
        <v/>
      </c>
      <c r="L41" s="9">
        <f>K41/G41</f>
        <v/>
      </c>
      <c r="M41" s="12" t="inlineStr">
        <is>
          <t>Gym/Office</t>
        </is>
      </c>
      <c r="N41" s="12" t="inlineStr">
        <is>
          <t>Est. — benchmark range £1.20-1.50. Swedish brand, growing fast in UK. Premium positioning.</t>
        </is>
      </c>
    </row>
    <row r="42">
      <c r="A42" s="12" t="inlineStr">
        <is>
          <t>Hot Drinks</t>
        </is>
      </c>
      <c r="B42" s="12" t="inlineStr">
        <is>
          <t>Nescafe Gold Blend (per cup)</t>
        </is>
      </c>
      <c r="C42" s="12" t="inlineStr">
        <is>
          <t>Nescafe</t>
        </is>
      </c>
      <c r="D42" s="12" t="inlineStr">
        <is>
          <t>750g tin (~300 cups)</t>
        </is>
      </c>
      <c r="E42" s="13" t="n">
        <v>0.08</v>
      </c>
      <c r="F42" s="12" t="inlineStr">
        <is>
          <t>benchmark</t>
        </is>
      </c>
      <c r="G42" s="13" t="n">
        <v>0.8</v>
      </c>
      <c r="H42" s="14">
        <f>G42-E42</f>
        <v/>
      </c>
      <c r="I42" s="9">
        <f>(G42-E42)/G42</f>
        <v/>
      </c>
      <c r="J42" s="14">
        <f>G42*0.029</f>
        <v/>
      </c>
      <c r="K42" s="14">
        <f>H42-J42</f>
        <v/>
      </c>
      <c r="L42" s="9">
        <f>K42/G42</f>
        <v/>
      </c>
      <c r="M42" s="12" t="inlineStr">
        <is>
          <t>Office</t>
        </is>
      </c>
      <c r="N42" s="12" t="inlineStr">
        <is>
          <t>Est. — benchmark range £0.06-0.10 per cup. Ingredient cost includes cup, sugar, whitener. Assumes 2.5g per cup + consumables.</t>
        </is>
      </c>
    </row>
    <row r="43">
      <c r="A43" s="12" t="inlineStr">
        <is>
          <t>Hot Drinks</t>
        </is>
      </c>
      <c r="B43" s="12" t="inlineStr">
        <is>
          <t>PG Tips Tea (per cup)</t>
        </is>
      </c>
      <c r="C43" s="12" t="inlineStr">
        <is>
          <t>PG Tips</t>
        </is>
      </c>
      <c r="D43" s="12" t="inlineStr">
        <is>
          <t>1100 bags</t>
        </is>
      </c>
      <c r="E43" s="13" t="n">
        <v>0.05</v>
      </c>
      <c r="F43" s="12" t="inlineStr">
        <is>
          <t>benchmark</t>
        </is>
      </c>
      <c r="G43" s="13" t="n">
        <v>0.6</v>
      </c>
      <c r="H43" s="14">
        <f>G43-E43</f>
        <v/>
      </c>
      <c r="I43" s="9">
        <f>(G43-E43)/G43</f>
        <v/>
      </c>
      <c r="J43" s="14">
        <f>G43*0.029</f>
        <v/>
      </c>
      <c r="K43" s="14">
        <f>H43-J43</f>
        <v/>
      </c>
      <c r="L43" s="9">
        <f>K43/G43</f>
        <v/>
      </c>
      <c r="M43" s="12" t="inlineStr">
        <is>
          <t>Office</t>
        </is>
      </c>
      <c r="N43" s="12" t="inlineStr">
        <is>
          <t>Est. — benchmark range £0.04-0.07 per cup. Lowest cost hot drink. Tea bag + cup + milk powder.</t>
        </is>
      </c>
    </row>
    <row r="44">
      <c r="A44" s="12" t="inlineStr">
        <is>
          <t>Hot Drinks</t>
        </is>
      </c>
      <c r="B44" s="12" t="inlineStr">
        <is>
          <t>Cadbury Hot Chocolate (per cup)</t>
        </is>
      </c>
      <c r="C44" s="12" t="inlineStr">
        <is>
          <t>Cadbury</t>
        </is>
      </c>
      <c r="D44" s="12" t="inlineStr">
        <is>
          <t>2kg tin (~80 cups)</t>
        </is>
      </c>
      <c r="E44" s="13" t="n">
        <v>0.12</v>
      </c>
      <c r="F44" s="12" t="inlineStr">
        <is>
          <t>benchmark</t>
        </is>
      </c>
      <c r="G44" s="13" t="n">
        <v>1</v>
      </c>
      <c r="H44" s="14">
        <f>G44-E44</f>
        <v/>
      </c>
      <c r="I44" s="9">
        <f>(G44-E44)/G44</f>
        <v/>
      </c>
      <c r="J44" s="14">
        <f>G44*0.029</f>
        <v/>
      </c>
      <c r="K44" s="14">
        <f>H44-J44</f>
        <v/>
      </c>
      <c r="L44" s="9">
        <f>K44/G44</f>
        <v/>
      </c>
      <c r="M44" s="12" t="inlineStr">
        <is>
          <t>Office/Leisure</t>
        </is>
      </c>
      <c r="N44" s="12" t="inlineStr">
        <is>
          <t>Est. — benchmark range £0.10-0.15 per cup. Higher ingredient cost than coffee/tea. Strong brand pull.</t>
        </is>
      </c>
    </row>
    <row r="45">
      <c r="A45" s="12" t="inlineStr">
        <is>
          <t>Hot Drinks</t>
        </is>
      </c>
      <c r="B45" s="12" t="inlineStr">
        <is>
          <t>Kenco Rich Roast (per cup)</t>
        </is>
      </c>
      <c r="C45" s="12" t="inlineStr">
        <is>
          <t>Kenco</t>
        </is>
      </c>
      <c r="D45" s="12" t="inlineStr">
        <is>
          <t>300g tin (~120 cups)</t>
        </is>
      </c>
      <c r="E45" s="13" t="n">
        <v>0.1</v>
      </c>
      <c r="F45" s="12" t="inlineStr">
        <is>
          <t>benchmark</t>
        </is>
      </c>
      <c r="G45" s="13" t="n">
        <v>0.9</v>
      </c>
      <c r="H45" s="14">
        <f>G45-E45</f>
        <v/>
      </c>
      <c r="I45" s="9">
        <f>(G45-E45)/G45</f>
        <v/>
      </c>
      <c r="J45" s="14">
        <f>G45*0.029</f>
        <v/>
      </c>
      <c r="K45" s="14">
        <f>H45-J45</f>
        <v/>
      </c>
      <c r="L45" s="9">
        <f>K45/G45</f>
        <v/>
      </c>
      <c r="M45" s="12" t="inlineStr">
        <is>
          <t>Office</t>
        </is>
      </c>
      <c r="N45" s="12" t="inlineStr">
        <is>
          <t>Est. — benchmark range £0.08-0.12 per cup. Perceived step up from Nescafe in office settings.</t>
        </is>
      </c>
    </row>
    <row r="46">
      <c r="A46" s="12" t="inlineStr">
        <is>
          <t>Hot Drinks</t>
        </is>
      </c>
      <c r="B46" s="12" t="inlineStr">
        <is>
          <t>Options Hot Chocolate (per cup)</t>
        </is>
      </c>
      <c r="C46" s="12" t="inlineStr">
        <is>
          <t>Options</t>
        </is>
      </c>
      <c r="D46" s="12" t="inlineStr">
        <is>
          <t>825g tin (~33 cups)</t>
        </is>
      </c>
      <c r="E46" s="13" t="n">
        <v>0.14</v>
      </c>
      <c r="F46" s="12" t="inlineStr">
        <is>
          <t>benchmark</t>
        </is>
      </c>
      <c r="G46" s="13" t="n">
        <v>1.2</v>
      </c>
      <c r="H46" s="14">
        <f>G46-E46</f>
        <v/>
      </c>
      <c r="I46" s="9">
        <f>(G46-E46)/G46</f>
        <v/>
      </c>
      <c r="J46" s="14">
        <f>G46*0.029</f>
        <v/>
      </c>
      <c r="K46" s="14">
        <f>H46-J46</f>
        <v/>
      </c>
      <c r="L46" s="9">
        <f>K46/G46</f>
        <v/>
      </c>
      <c r="M46" s="12" t="inlineStr">
        <is>
          <t>Office</t>
        </is>
      </c>
      <c r="N46" s="12" t="inlineStr">
        <is>
          <t>Est. — benchmark range £0.10-0.18 per cup. Low-calorie hot choc, appeals to health-conscious. Higher per-cup cost due to smaller tins.</t>
        </is>
      </c>
    </row>
    <row r="47">
      <c r="H47" s="14">
        <f>IF(G47="","",G47-E47)</f>
        <v/>
      </c>
      <c r="I47" s="9">
        <f>IF(G47="","",((G47-E47)/G47))</f>
        <v/>
      </c>
      <c r="J47" s="14">
        <f>IF(G47="","",G47*0.029)</f>
        <v/>
      </c>
      <c r="K47" s="14">
        <f>IF(H47="","",H47-J47)</f>
        <v/>
      </c>
      <c r="L47" s="9">
        <f>IF(K47="","",K47/G47)</f>
        <v/>
      </c>
    </row>
    <row r="48">
      <c r="H48" s="14">
        <f>IF(G48="","",G48-E48)</f>
        <v/>
      </c>
      <c r="I48" s="9">
        <f>IF(G48="","",((G48-E48)/G48))</f>
        <v/>
      </c>
      <c r="J48" s="14">
        <f>IF(G48="","",G48*0.029)</f>
        <v/>
      </c>
      <c r="K48" s="14">
        <f>IF(H48="","",H48-J48)</f>
        <v/>
      </c>
      <c r="L48" s="9">
        <f>IF(K48="","",K48/G48)</f>
        <v/>
      </c>
    </row>
    <row r="49">
      <c r="H49" s="14">
        <f>IF(G49="","",G49-E49)</f>
        <v/>
      </c>
      <c r="I49" s="9">
        <f>IF(G49="","",((G49-E49)/G49))</f>
        <v/>
      </c>
      <c r="J49" s="14">
        <f>IF(G49="","",G49*0.029)</f>
        <v/>
      </c>
      <c r="K49" s="14">
        <f>IF(H49="","",H49-J49)</f>
        <v/>
      </c>
      <c r="L49" s="9">
        <f>IF(K49="","",K49/G49)</f>
        <v/>
      </c>
    </row>
    <row r="50">
      <c r="H50" s="14">
        <f>IF(G50="","",G50-E50)</f>
        <v/>
      </c>
      <c r="I50" s="9">
        <f>IF(G50="","",((G50-E50)/G50))</f>
        <v/>
      </c>
      <c r="J50" s="14">
        <f>IF(G50="","",G50*0.029)</f>
        <v/>
      </c>
      <c r="K50" s="14">
        <f>IF(H50="","",H50-J50)</f>
        <v/>
      </c>
      <c r="L50" s="9">
        <f>IF(K50="","",K50/G50)</f>
        <v/>
      </c>
    </row>
    <row r="51">
      <c r="H51" s="14">
        <f>IF(G51="","",G51-E51)</f>
        <v/>
      </c>
      <c r="I51" s="9">
        <f>IF(G51="","",((G51-E51)/G51))</f>
        <v/>
      </c>
      <c r="J51" s="14">
        <f>IF(G51="","",G51*0.029)</f>
        <v/>
      </c>
      <c r="K51" s="14">
        <f>IF(H51="","",H51-J51)</f>
        <v/>
      </c>
      <c r="L51" s="9">
        <f>IF(K51="","",K51/G51)</f>
        <v/>
      </c>
    </row>
    <row r="52">
      <c r="H52" s="14">
        <f>IF(G52="","",G52-E52)</f>
        <v/>
      </c>
      <c r="I52" s="9">
        <f>IF(G52="","",((G52-E52)/G52))</f>
        <v/>
      </c>
      <c r="J52" s="14">
        <f>IF(G52="","",G52*0.029)</f>
        <v/>
      </c>
      <c r="K52" s="14">
        <f>IF(H52="","",H52-J52)</f>
        <v/>
      </c>
      <c r="L52" s="9">
        <f>IF(K52="","",K52/G52)</f>
        <v/>
      </c>
    </row>
    <row r="53">
      <c r="H53" s="14">
        <f>IF(G53="","",G53-E53)</f>
        <v/>
      </c>
      <c r="I53" s="9">
        <f>IF(G53="","",((G53-E53)/G53))</f>
        <v/>
      </c>
      <c r="J53" s="14">
        <f>IF(G53="","",G53*0.029)</f>
        <v/>
      </c>
      <c r="K53" s="14">
        <f>IF(H53="","",H53-J53)</f>
        <v/>
      </c>
      <c r="L53" s="9">
        <f>IF(K53="","",K53/G53)</f>
        <v/>
      </c>
    </row>
    <row r="54">
      <c r="H54" s="14">
        <f>IF(G54="","",G54-E54)</f>
        <v/>
      </c>
      <c r="I54" s="9">
        <f>IF(G54="","",((G54-E54)/G54))</f>
        <v/>
      </c>
      <c r="J54" s="14">
        <f>IF(G54="","",G54*0.029)</f>
        <v/>
      </c>
      <c r="K54" s="14">
        <f>IF(H54="","",H54-J54)</f>
        <v/>
      </c>
      <c r="L54" s="9">
        <f>IF(K54="","",K54/G54)</f>
        <v/>
      </c>
    </row>
    <row r="55">
      <c r="H55" s="14">
        <f>IF(G55="","",G55-E55)</f>
        <v/>
      </c>
      <c r="I55" s="9">
        <f>IF(G55="","",((G55-E55)/G55))</f>
        <v/>
      </c>
      <c r="J55" s="14">
        <f>IF(G55="","",G55*0.029)</f>
        <v/>
      </c>
      <c r="K55" s="14">
        <f>IF(H55="","",H55-J55)</f>
        <v/>
      </c>
      <c r="L55" s="9">
        <f>IF(K55="","",K55/G55)</f>
        <v/>
      </c>
    </row>
    <row r="56">
      <c r="H56" s="14">
        <f>IF(G56="","",G56-E56)</f>
        <v/>
      </c>
      <c r="I56" s="9">
        <f>IF(G56="","",((G56-E56)/G56))</f>
        <v/>
      </c>
      <c r="J56" s="14">
        <f>IF(G56="","",G56*0.029)</f>
        <v/>
      </c>
      <c r="K56" s="14">
        <f>IF(H56="","",H56-J56)</f>
        <v/>
      </c>
      <c r="L56" s="9">
        <f>IF(K56="","",K56/G56)</f>
        <v/>
      </c>
    </row>
    <row r="57">
      <c r="H57" s="14">
        <f>IF(G57="","",G57-E57)</f>
        <v/>
      </c>
      <c r="I57" s="9">
        <f>IF(G57="","",((G57-E57)/G57))</f>
        <v/>
      </c>
      <c r="J57" s="14">
        <f>IF(G57="","",G57*0.029)</f>
        <v/>
      </c>
      <c r="K57" s="14">
        <f>IF(H57="","",H57-J57)</f>
        <v/>
      </c>
      <c r="L57" s="9">
        <f>IF(K57="","",K57/G57)</f>
        <v/>
      </c>
    </row>
    <row r="58">
      <c r="H58" s="14">
        <f>IF(G58="","",G58-E58)</f>
        <v/>
      </c>
      <c r="I58" s="9">
        <f>IF(G58="","",((G58-E58)/G58))</f>
        <v/>
      </c>
      <c r="J58" s="14">
        <f>IF(G58="","",G58*0.029)</f>
        <v/>
      </c>
      <c r="K58" s="14">
        <f>IF(H58="","",H58-J58)</f>
        <v/>
      </c>
      <c r="L58" s="9">
        <f>IF(K58="","",K58/G58)</f>
        <v/>
      </c>
    </row>
    <row r="59">
      <c r="H59" s="14">
        <f>IF(G59="","",G59-E59)</f>
        <v/>
      </c>
      <c r="I59" s="9">
        <f>IF(G59="","",((G59-E59)/G59))</f>
        <v/>
      </c>
      <c r="J59" s="14">
        <f>IF(G59="","",G59*0.029)</f>
        <v/>
      </c>
      <c r="K59" s="14">
        <f>IF(H59="","",H59-J59)</f>
        <v/>
      </c>
      <c r="L59" s="9">
        <f>IF(K59="","",K59/G59)</f>
        <v/>
      </c>
    </row>
    <row r="60">
      <c r="H60" s="14">
        <f>IF(G60="","",G60-E60)</f>
        <v/>
      </c>
      <c r="I60" s="9">
        <f>IF(G60="","",((G60-E60)/G60))</f>
        <v/>
      </c>
      <c r="J60" s="14">
        <f>IF(G60="","",G60*0.029)</f>
        <v/>
      </c>
      <c r="K60" s="14">
        <f>IF(H60="","",H60-J60)</f>
        <v/>
      </c>
      <c r="L60" s="9">
        <f>IF(K60="","",K60/G60)</f>
        <v/>
      </c>
    </row>
    <row r="61">
      <c r="H61" s="14">
        <f>IF(G61="","",G61-E61)</f>
        <v/>
      </c>
      <c r="I61" s="9">
        <f>IF(G61="","",((G61-E61)/G61))</f>
        <v/>
      </c>
      <c r="J61" s="14">
        <f>IF(G61="","",G61*0.029)</f>
        <v/>
      </c>
      <c r="K61" s="14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1" t="inlineStr">
        <is>
          <t>Machine Name</t>
        </is>
      </c>
      <c r="B1" s="11" t="inlineStr">
        <is>
          <t>Manufacturer</t>
        </is>
      </c>
      <c r="C1" s="11" t="inlineStr">
        <is>
          <t>Type</t>
        </is>
      </c>
      <c r="D1" s="11" t="inlineStr">
        <is>
          <t>Condition</t>
        </is>
      </c>
      <c r="E1" s="11" t="inlineStr">
        <is>
          <t>Purchase Price (£)</t>
        </is>
      </c>
      <c r="F1" s="11" t="inlineStr">
        <is>
          <t>VAT (£)</t>
        </is>
      </c>
      <c r="G1" s="11" t="inlineStr">
        <is>
          <t>Total Price (£)</t>
        </is>
      </c>
      <c r="H1" s="11" t="inlineStr">
        <is>
          <t>Lease Price (£/month)</t>
        </is>
      </c>
      <c r="I1" s="11" t="inlineStr">
        <is>
          <t>Capacity (selections)</t>
        </is>
      </c>
      <c r="J1" s="11" t="inlineStr">
        <is>
          <t>Payment Systems</t>
        </is>
      </c>
      <c r="K1" s="11" t="inlineStr">
        <is>
          <t>Cashless Ready</t>
        </is>
      </c>
      <c r="L1" s="11" t="inlineStr">
        <is>
          <t>Telemetry Built-in</t>
        </is>
      </c>
      <c r="M1" s="11" t="inlineStr">
        <is>
          <t>Energy Rating</t>
        </is>
      </c>
      <c r="N1" s="11" t="inlineStr">
        <is>
          <t>Dimensions (W×D×H cm)</t>
        </is>
      </c>
      <c r="O1" s="11" t="inlineStr">
        <is>
          <t>Weight (kg)</t>
        </is>
      </c>
      <c r="P1" s="11" t="inlineStr">
        <is>
          <t>Refrigerated</t>
        </is>
      </c>
      <c r="Q1" s="11" t="inlineStr">
        <is>
          <t>Supplier</t>
        </is>
      </c>
      <c r="R1" s="11" t="inlineStr">
        <is>
          <t>Supplier Contact</t>
        </is>
      </c>
      <c r="S1" s="11" t="inlineStr">
        <is>
          <t>Warranty</t>
        </is>
      </c>
      <c r="T1" s="11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5" t="n">
        <v>4200</v>
      </c>
      <c r="F2" s="10">
        <f>E2*0.2</f>
        <v/>
      </c>
      <c r="G2" s="10">
        <f>E2+F2</f>
        <v/>
      </c>
      <c r="H2" s="16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5" t="n">
        <v>4400</v>
      </c>
      <c r="F3" s="10">
        <f>E3*0.2</f>
        <v/>
      </c>
      <c r="G3" s="10">
        <f>E3+F3</f>
        <v/>
      </c>
      <c r="H3" s="16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5" t="n">
        <v>1600</v>
      </c>
      <c r="F4" s="10">
        <f>E4*0.2</f>
        <v/>
      </c>
      <c r="G4" s="10">
        <f>E4+F4</f>
        <v/>
      </c>
      <c r="H4" s="16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5" t="n">
        <v>1600</v>
      </c>
      <c r="F5" s="10">
        <f>E5*0.2</f>
        <v/>
      </c>
      <c r="G5" s="10">
        <f>E5+F5</f>
        <v/>
      </c>
      <c r="H5" s="16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5" t="n">
        <v>1750</v>
      </c>
      <c r="F6" s="10">
        <f>E6*0.2</f>
        <v/>
      </c>
      <c r="G6" s="10">
        <f>E6+F6</f>
        <v/>
      </c>
      <c r="H6" s="16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5" t="n">
        <v>1100</v>
      </c>
      <c r="F7" s="10">
        <f>E7*0.2</f>
        <v/>
      </c>
      <c r="G7" s="10">
        <f>E7+F7</f>
        <v/>
      </c>
      <c r="H7" s="16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5" t="n">
        <v>2500</v>
      </c>
      <c r="F8" s="10">
        <f>E8*0.2</f>
        <v/>
      </c>
      <c r="G8" s="10">
        <f>E8+F8</f>
        <v/>
      </c>
      <c r="H8" s="16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5" t="n">
        <v>1100</v>
      </c>
      <c r="F9" s="10">
        <f>E9*0.2</f>
        <v/>
      </c>
      <c r="G9" s="10">
        <f>E9+F9</f>
        <v/>
      </c>
      <c r="H9" s="16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5" t="n">
        <v>1250</v>
      </c>
      <c r="F10" s="10">
        <f>E10*0.2</f>
        <v/>
      </c>
      <c r="G10" s="10">
        <f>E10+F10</f>
        <v/>
      </c>
      <c r="H10" s="16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5" t="n">
        <v>1400</v>
      </c>
      <c r="F11" s="10">
        <f>E11*0.2</f>
        <v/>
      </c>
      <c r="G11" s="10">
        <f>E11+F11</f>
        <v/>
      </c>
      <c r="H11" s="16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5" t="n">
        <v>1500</v>
      </c>
      <c r="F12" s="10">
        <f>E12*0.2</f>
        <v/>
      </c>
      <c r="G12" s="10">
        <f>E12+F12</f>
        <v/>
      </c>
      <c r="H12" s="16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5" t="n">
        <v>1750</v>
      </c>
      <c r="F13" s="10">
        <f>E13*0.2</f>
        <v/>
      </c>
      <c r="G13" s="10">
        <f>E13+F13</f>
        <v/>
      </c>
      <c r="H13" s="16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5" t="n">
        <v>3602</v>
      </c>
      <c r="F14" s="10">
        <f>E14*0.2</f>
        <v/>
      </c>
      <c r="G14" s="10">
        <f>E14+F14</f>
        <v/>
      </c>
      <c r="H14" s="16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5" t="n">
        <v>450</v>
      </c>
      <c r="F15" s="10">
        <f>E15*0.2</f>
        <v/>
      </c>
      <c r="G15" s="10">
        <f>E15+F15</f>
        <v/>
      </c>
      <c r="H15" s="16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1" t="inlineStr">
        <is>
          <t>Supplier Name</t>
        </is>
      </c>
      <c r="B1" s="11" t="inlineStr">
        <is>
          <t>Category</t>
        </is>
      </c>
      <c r="C1" s="11" t="inlineStr">
        <is>
          <t>Products/Services</t>
        </is>
      </c>
      <c r="D1" s="11" t="inlineStr">
        <is>
          <t>Website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Location</t>
        </is>
      </c>
      <c r="H1" s="11" t="inlineStr">
        <is>
          <t>Account Required</t>
        </is>
      </c>
      <c r="I1" s="11" t="inlineStr">
        <is>
          <t>Minimum Order</t>
        </is>
      </c>
      <c r="J1" s="11" t="inlineStr">
        <is>
          <t>Delivery</t>
        </is>
      </c>
      <c r="K1" s="11" t="inlineStr">
        <is>
          <t>Payment Terms</t>
        </is>
      </c>
      <c r="L1" s="11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1" t="inlineStr">
        <is>
          <t>Operator Name</t>
        </is>
      </c>
      <c r="B1" s="11" t="inlineStr">
        <is>
          <t>Type</t>
        </is>
      </c>
      <c r="C1" s="11" t="inlineStr">
        <is>
          <t>HQ Location</t>
        </is>
      </c>
      <c r="D1" s="11" t="inlineStr">
        <is>
          <t>UK Coverage</t>
        </is>
      </c>
      <c r="E1" s="11" t="inlineStr">
        <is>
          <t>London Presence</t>
        </is>
      </c>
      <c r="F1" s="11" t="inlineStr">
        <is>
          <t>Machine Count (est.)</t>
        </is>
      </c>
      <c r="G1" s="11" t="inlineStr">
        <is>
          <t>Service Model</t>
        </is>
      </c>
      <c r="H1" s="11" t="inlineStr">
        <is>
          <t>Target Sectors</t>
        </is>
      </c>
      <c r="I1" s="11" t="inlineStr">
        <is>
          <t>Key Differentiator</t>
        </is>
      </c>
      <c r="J1" s="11" t="inlineStr">
        <is>
          <t>Pricing Model</t>
        </is>
      </c>
      <c r="K1" s="11" t="inlineStr">
        <is>
          <t>Website</t>
        </is>
      </c>
      <c r="L1" s="11" t="inlineStr">
        <is>
          <t>Threat Level</t>
        </is>
      </c>
      <c r="M1" s="11" t="inlineStr">
        <is>
          <t>Opportunity</t>
        </is>
      </c>
      <c r="N1" s="11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7" t="inlineStr">
        <is>
          <t>STARTUP COST CALCULATOR</t>
        </is>
      </c>
    </row>
    <row r="2">
      <c r="A2" s="18" t="inlineStr">
        <is>
          <t>Number of machines:</t>
        </is>
      </c>
      <c r="B2" s="19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0" t="inlineStr">
        <is>
          <t>Per Machine (£)</t>
        </is>
      </c>
      <c r="C4" s="20" t="inlineStr">
        <is>
          <t>Quantity</t>
        </is>
      </c>
      <c r="D4" s="20" t="inlineStr">
        <is>
          <t>Total (£)</t>
        </is>
      </c>
    </row>
    <row r="5">
      <c r="A5" s="21" t="inlineStr">
        <is>
          <t>Vending Machine (refurb)</t>
        </is>
      </c>
      <c r="B5" s="22" t="n">
        <v>1750</v>
      </c>
      <c r="C5" s="21">
        <f>$B$2</f>
        <v/>
      </c>
      <c r="D5" s="7">
        <f>B5*C5</f>
        <v/>
      </c>
    </row>
    <row r="6">
      <c r="A6" s="21" t="inlineStr">
        <is>
          <t>VAT on Machine</t>
        </is>
      </c>
      <c r="B6" s="7">
        <f>B5*0.2</f>
        <v/>
      </c>
      <c r="C6" s="21">
        <f>$B$2</f>
        <v/>
      </c>
      <c r="D6" s="7">
        <f>B6*C6</f>
        <v/>
      </c>
    </row>
    <row r="7">
      <c r="A7" s="21" t="inlineStr">
        <is>
          <t>Nayax VPOS Touch</t>
        </is>
      </c>
      <c r="B7" s="22" t="n">
        <v>450</v>
      </c>
      <c r="C7" s="21">
        <f>$B$2</f>
        <v/>
      </c>
      <c r="D7" s="7">
        <f>B7*C7</f>
        <v/>
      </c>
    </row>
    <row r="8">
      <c r="A8" s="21" t="inlineStr">
        <is>
          <t>VAT on Nayax</t>
        </is>
      </c>
      <c r="B8" s="7">
        <f>B7*0.2</f>
        <v/>
      </c>
      <c r="C8" s="21">
        <f>$B$2</f>
        <v/>
      </c>
      <c r="D8" s="7">
        <f>B8*C8</f>
        <v/>
      </c>
    </row>
    <row r="9">
      <c r="A9" s="21" t="inlineStr">
        <is>
          <t>Delivery &amp; Installation</t>
        </is>
      </c>
      <c r="B9" s="22" t="n">
        <v>150</v>
      </c>
      <c r="C9" s="21">
        <f>$B$2</f>
        <v/>
      </c>
      <c r="D9" s="7">
        <f>B9*C9</f>
        <v/>
      </c>
    </row>
    <row r="10">
      <c r="A10" s="21" t="inlineStr">
        <is>
          <t>Initial Stock Fill</t>
        </is>
      </c>
      <c r="B10" s="22" t="n">
        <v>200</v>
      </c>
      <c r="C10" s="21">
        <f>$B$2</f>
        <v/>
      </c>
      <c r="D10" s="7">
        <f>B10*C10</f>
        <v/>
      </c>
    </row>
    <row r="11">
      <c r="A11" s="5" t="inlineStr">
        <is>
          <t>Subtotal Capital</t>
        </is>
      </c>
      <c r="D11" s="23">
        <f>SUM(D5:D10)</f>
        <v/>
      </c>
    </row>
    <row r="13">
      <c r="A13" s="3" t="inlineStr">
        <is>
          <t>SETUP COSTS (ONE-OFF)</t>
        </is>
      </c>
      <c r="B13" s="20" t="inlineStr">
        <is>
          <t>Cost (£)</t>
        </is>
      </c>
      <c r="C13" s="20" t="inlineStr">
        <is>
          <t>Qty</t>
        </is>
      </c>
      <c r="D13" s="20" t="inlineStr">
        <is>
          <t>Total (£)</t>
        </is>
      </c>
    </row>
    <row r="14">
      <c r="A14" s="21" t="inlineStr">
        <is>
          <t>Company Registration (Ltd)</t>
        </is>
      </c>
      <c r="B14" s="22" t="n">
        <v>50</v>
      </c>
      <c r="C14" s="21" t="n">
        <v>1</v>
      </c>
      <c r="D14" s="7">
        <f>B14*C14</f>
        <v/>
      </c>
      <c r="E14" s="24" t="inlineStr">
        <is>
          <t>Companies House</t>
        </is>
      </c>
    </row>
    <row r="15">
      <c r="A15" s="21" t="inlineStr">
        <is>
          <t>Food Business Registration</t>
        </is>
      </c>
      <c r="B15" s="22" t="n">
        <v>0</v>
      </c>
      <c r="C15" s="21" t="n">
        <v>1</v>
      </c>
      <c r="D15" s="7">
        <f>B15*C15</f>
        <v/>
      </c>
      <c r="E15" s="24" t="inlineStr">
        <is>
          <t>Free, local council, 28 days before trading</t>
        </is>
      </c>
    </row>
    <row r="16">
      <c r="A16" s="21" t="inlineStr">
        <is>
          <t>Food Hygiene Certificate</t>
        </is>
      </c>
      <c r="B16" s="22" t="n">
        <v>150</v>
      </c>
      <c r="C16" s="21" t="n">
        <v>1</v>
      </c>
      <c r="D16" s="7">
        <f>B16*C16</f>
        <v/>
      </c>
      <c r="E16" s="24" t="inlineStr">
        <is>
          <t>Level 2 online course</t>
        </is>
      </c>
    </row>
    <row r="17">
      <c r="A17" s="21" t="inlineStr">
        <is>
          <t>Public Liability Insurance (annual)</t>
        </is>
      </c>
      <c r="B17" s="22" t="n">
        <v>150</v>
      </c>
      <c r="C17" s="21" t="n">
        <v>1</v>
      </c>
      <c r="D17" s="7">
        <f>B17*C17</f>
        <v/>
      </c>
      <c r="E17" s="24" t="inlineStr">
        <is>
          <t>£1-2M cover</t>
        </is>
      </c>
    </row>
    <row r="18">
      <c r="A18" s="21" t="inlineStr">
        <is>
          <t>Product Liability Insurance (annual)</t>
        </is>
      </c>
      <c r="B18" s="22" t="n">
        <v>100</v>
      </c>
      <c r="C18" s="21" t="n">
        <v>1</v>
      </c>
      <c r="D18" s="7">
        <f>B18*C18</f>
        <v/>
      </c>
      <c r="E18" s="24" t="inlineStr">
        <is>
          <t>Often bundled with above</t>
        </is>
      </c>
    </row>
    <row r="19">
      <c r="A19" s="21" t="inlineStr">
        <is>
          <t>PAT Testing</t>
        </is>
      </c>
      <c r="B19" s="22" t="n">
        <v>50</v>
      </c>
      <c r="C19" s="21">
        <f>$B$2</f>
        <v/>
      </c>
      <c r="D19" s="7">
        <f>B19*C19</f>
        <v/>
      </c>
      <c r="E19" s="24" t="inlineStr">
        <is>
          <t>Per machine</t>
        </is>
      </c>
    </row>
    <row r="20">
      <c r="A20" s="21" t="inlineStr">
        <is>
          <t>Nayax KYC/Setup Fee</t>
        </is>
      </c>
      <c r="B20" s="22" t="n">
        <v>45</v>
      </c>
      <c r="C20" s="21" t="n">
        <v>1</v>
      </c>
      <c r="D20" s="7">
        <f>B20*C20</f>
        <v/>
      </c>
      <c r="E20" s="24" t="inlineStr">
        <is>
          <t>Per Nayax account</t>
        </is>
      </c>
    </row>
    <row r="21">
      <c r="A21" s="21" t="inlineStr">
        <is>
          <t>Branding/Wrapping (optional)</t>
        </is>
      </c>
      <c r="B21" s="22" t="n">
        <v>200</v>
      </c>
      <c r="C21" s="21">
        <f>$B$2</f>
        <v/>
      </c>
      <c r="D21" s="7">
        <f>B21*C21</f>
        <v/>
      </c>
      <c r="E21" s="24" t="inlineStr">
        <is>
          <t>Custom vinyl wrap per machine</t>
        </is>
      </c>
    </row>
    <row r="22">
      <c r="A22" s="5" t="inlineStr">
        <is>
          <t>Subtotal Setup</t>
        </is>
      </c>
      <c r="D22" s="23">
        <f>SUM(D14:D21)</f>
        <v/>
      </c>
    </row>
    <row r="24">
      <c r="A24" s="3" t="inlineStr">
        <is>
          <t>MONTHLY OPERATING COSTS</t>
        </is>
      </c>
      <c r="B24" s="20" t="inlineStr">
        <is>
          <t>Per Machine/Month (£)</t>
        </is>
      </c>
      <c r="C24" s="4" t="n"/>
      <c r="D24" s="20" t="inlineStr">
        <is>
          <t>Total/Month (£)</t>
        </is>
      </c>
    </row>
    <row r="25">
      <c r="A25" s="21" t="inlineStr">
        <is>
          <t>Nayax Monthly Fee</t>
        </is>
      </c>
      <c r="B25" s="7" t="n">
        <v>10</v>
      </c>
      <c r="D25" s="7">
        <f>B25*$B$2</f>
        <v/>
      </c>
    </row>
    <row r="26">
      <c r="A26" s="21" t="inlineStr">
        <is>
          <t>Site Rent / Commission</t>
        </is>
      </c>
      <c r="B26" s="22" t="n">
        <v>100</v>
      </c>
      <c r="D26" s="7">
        <f>B26*$B$2</f>
        <v/>
      </c>
    </row>
    <row r="27">
      <c r="A27" s="21" t="inlineStr">
        <is>
          <t>Stock Replenishment</t>
        </is>
      </c>
      <c r="B27" s="22" t="n">
        <v>400</v>
      </c>
      <c r="D27" s="7">
        <f>B27*$B$2</f>
        <v/>
      </c>
    </row>
    <row r="28">
      <c r="A28" s="21" t="inlineStr">
        <is>
          <t>Travel/Fuel</t>
        </is>
      </c>
      <c r="B28" s="22" t="n">
        <v>80</v>
      </c>
      <c r="D28" s="7">
        <f>B28*$B$2</f>
        <v/>
      </c>
    </row>
    <row r="29">
      <c r="A29" s="21" t="inlineStr">
        <is>
          <t>Electricity (if not site-covered)</t>
        </is>
      </c>
      <c r="B29" s="22" t="n">
        <v>0</v>
      </c>
      <c r="D29" s="7">
        <f>B29*$B$2</f>
        <v/>
      </c>
    </row>
    <row r="30">
      <c r="A30" s="21" t="inlineStr">
        <is>
          <t>Maintenance/Repairs Fund</t>
        </is>
      </c>
      <c r="B30" s="22" t="n">
        <v>30</v>
      </c>
      <c r="D30" s="7">
        <f>B30*$B$2</f>
        <v/>
      </c>
    </row>
    <row r="31">
      <c r="A31" s="21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3">
        <f>SUM(D25:D31)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3">
        <f>D11+D22</f>
        <v/>
      </c>
    </row>
    <row r="36">
      <c r="A36" s="5" t="inlineStr">
        <is>
          <t>Monthly Operating Cost</t>
        </is>
      </c>
      <c r="D36" s="23">
        <f>D32</f>
        <v/>
      </c>
    </row>
    <row r="37">
      <c r="A37" s="5" t="inlineStr">
        <is>
          <t>Est. Monthly Revenue per Machine</t>
        </is>
      </c>
      <c r="B37" s="22" t="n">
        <v>2000</v>
      </c>
      <c r="D37" s="23">
        <f>B37*$B$2</f>
        <v/>
      </c>
    </row>
    <row r="38">
      <c r="A38" s="5" t="inlineStr">
        <is>
          <t>Est. Monthly Revenue Total</t>
        </is>
      </c>
      <c r="D38" s="23">
        <f>D37</f>
        <v/>
      </c>
    </row>
    <row r="39">
      <c r="A39" s="5" t="inlineStr">
        <is>
          <t>Est. Monthly Profit</t>
        </is>
      </c>
      <c r="D39" s="23">
        <f>D38-D36</f>
        <v/>
      </c>
    </row>
    <row r="40">
      <c r="A40" s="5" t="inlineStr">
        <is>
          <t>Months to Breakeven</t>
        </is>
      </c>
      <c r="D40" s="8">
        <f>D35/D39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1" t="inlineStr">
        <is>
          <t>Site Name</t>
        </is>
      </c>
      <c r="B1" s="11" t="inlineStr">
        <is>
          <t>Address</t>
        </is>
      </c>
      <c r="C1" s="11" t="inlineStr">
        <is>
          <t>Postcode</t>
        </is>
      </c>
      <c r="D1" s="11" t="inlineStr">
        <is>
          <t>Borough</t>
        </is>
      </c>
      <c r="E1" s="11" t="inlineStr">
        <is>
          <t>Site Type</t>
        </is>
      </c>
      <c r="F1" s="11" t="inlineStr">
        <is>
          <t>Contact Name</t>
        </is>
      </c>
      <c r="G1" s="11" t="inlineStr">
        <is>
          <t>Contact Phone</t>
        </is>
      </c>
      <c r="H1" s="11" t="inlineStr">
        <is>
          <t>Contact Email</t>
        </is>
      </c>
      <c r="I1" s="11" t="inlineStr">
        <is>
          <t>First Contact Date</t>
        </is>
      </c>
      <c r="J1" s="11" t="inlineStr">
        <is>
          <t>Status</t>
        </is>
      </c>
      <c r="K1" s="11" t="inlineStr">
        <is>
          <t>Est. Daily Footfall</t>
        </is>
      </c>
      <c r="L1" s="11" t="inlineStr">
        <is>
          <t>Existing Vending</t>
        </is>
      </c>
      <c r="M1" s="11" t="inlineStr">
        <is>
          <t>Current Provider</t>
        </is>
      </c>
      <c r="N1" s="11" t="inlineStr">
        <is>
          <t>Contract Expiry</t>
        </is>
      </c>
      <c r="O1" s="11" t="inlineStr">
        <is>
          <t>Space Available</t>
        </is>
      </c>
      <c r="P1" s="11" t="inlineStr">
        <is>
          <t>Power Supply Nearby</t>
        </is>
      </c>
      <c r="Q1" s="11" t="inlineStr">
        <is>
          <t>Proposed Deal Structure</t>
        </is>
      </c>
      <c r="R1" s="11" t="inlineStr">
        <is>
          <t>Est. Monthly Rent (£)</t>
        </is>
      </c>
      <c r="S1" s="11" t="inlineStr">
        <is>
          <t>Revenue Share (%)</t>
        </is>
      </c>
      <c r="T1" s="11" t="inlineStr">
        <is>
          <t>Est. Weekly Revenue (£)</t>
        </is>
      </c>
      <c r="U1" s="11" t="inlineStr">
        <is>
          <t>Score (1-10)</t>
        </is>
      </c>
      <c r="V1" s="11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18" t="inlineStr">
        <is>
          <t>Machine ID:</t>
        </is>
      </c>
      <c r="B1" s="19" t="n"/>
    </row>
    <row r="2">
      <c r="A2" s="18" t="inlineStr">
        <is>
          <t>Location:</t>
        </is>
      </c>
      <c r="B2" s="19" t="n"/>
    </row>
    <row r="3">
      <c r="A3" s="18" t="inlineStr">
        <is>
          <t>Week Commencing:</t>
        </is>
      </c>
      <c r="B3" s="25" t="n"/>
    </row>
    <row r="5">
      <c r="A5" s="11" t="inlineStr">
        <is>
          <t>Day</t>
        </is>
      </c>
      <c r="B5" s="11" t="inlineStr">
        <is>
          <t>Cash Revenue (£)</t>
        </is>
      </c>
      <c r="C5" s="11" t="inlineStr">
        <is>
          <t>Card Revenue (£)</t>
        </is>
      </c>
      <c r="D5" s="11" t="inlineStr">
        <is>
          <t>Total Revenue (£)</t>
        </is>
      </c>
      <c r="E5" s="11" t="inlineStr">
        <is>
          <t>Units Sold (Cash)</t>
        </is>
      </c>
      <c r="F5" s="11" t="inlineStr">
        <is>
          <t>Units Sold (Card)</t>
        </is>
      </c>
      <c r="G5" s="11" t="inlineStr">
        <is>
          <t>Total Units</t>
        </is>
      </c>
      <c r="H5" s="11" t="inlineStr">
        <is>
          <t>Avg Vend Price (£)</t>
        </is>
      </c>
    </row>
    <row r="6">
      <c r="A6" t="inlineStr">
        <is>
          <t>Monday</t>
        </is>
      </c>
      <c r="B6" s="26" t="n"/>
      <c r="C6" s="26" t="n"/>
      <c r="D6" s="14">
        <f>B6+C6</f>
        <v/>
      </c>
      <c r="E6" s="19" t="n"/>
      <c r="F6" s="19" t="n"/>
      <c r="G6">
        <f>E6+F6</f>
        <v/>
      </c>
      <c r="H6" s="14">
        <f>IF(G6=0,"",D6/G6)</f>
        <v/>
      </c>
    </row>
    <row r="7">
      <c r="A7" t="inlineStr">
        <is>
          <t>Tuesday</t>
        </is>
      </c>
      <c r="B7" s="26" t="n"/>
      <c r="C7" s="26" t="n"/>
      <c r="D7" s="14">
        <f>B7+C7</f>
        <v/>
      </c>
      <c r="E7" s="19" t="n"/>
      <c r="F7" s="19" t="n"/>
      <c r="G7">
        <f>E7+F7</f>
        <v/>
      </c>
      <c r="H7" s="14">
        <f>IF(G7=0,"",D7/G7)</f>
        <v/>
      </c>
    </row>
    <row r="8">
      <c r="A8" t="inlineStr">
        <is>
          <t>Wednesday</t>
        </is>
      </c>
      <c r="B8" s="26" t="n"/>
      <c r="C8" s="26" t="n"/>
      <c r="D8" s="14">
        <f>B8+C8</f>
        <v/>
      </c>
      <c r="E8" s="19" t="n"/>
      <c r="F8" s="19" t="n"/>
      <c r="G8">
        <f>E8+F8</f>
        <v/>
      </c>
      <c r="H8" s="14">
        <f>IF(G8=0,"",D8/G8)</f>
        <v/>
      </c>
    </row>
    <row r="9">
      <c r="A9" t="inlineStr">
        <is>
          <t>Thursday</t>
        </is>
      </c>
      <c r="B9" s="26" t="n"/>
      <c r="C9" s="26" t="n"/>
      <c r="D9" s="14">
        <f>B9+C9</f>
        <v/>
      </c>
      <c r="E9" s="19" t="n"/>
      <c r="F9" s="19" t="n"/>
      <c r="G9">
        <f>E9+F9</f>
        <v/>
      </c>
      <c r="H9" s="14">
        <f>IF(G9=0,"",D9/G9)</f>
        <v/>
      </c>
    </row>
    <row r="10">
      <c r="A10" t="inlineStr">
        <is>
          <t>Friday</t>
        </is>
      </c>
      <c r="B10" s="26" t="n"/>
      <c r="C10" s="26" t="n"/>
      <c r="D10" s="14">
        <f>B10+C10</f>
        <v/>
      </c>
      <c r="E10" s="19" t="n"/>
      <c r="F10" s="19" t="n"/>
      <c r="G10">
        <f>E10+F10</f>
        <v/>
      </c>
      <c r="H10" s="14">
        <f>IF(G10=0,"",D10/G10)</f>
        <v/>
      </c>
    </row>
    <row r="11">
      <c r="A11" t="inlineStr">
        <is>
          <t>Saturday</t>
        </is>
      </c>
      <c r="B11" s="26" t="n"/>
      <c r="C11" s="26" t="n"/>
      <c r="D11" s="14">
        <f>B11+C11</f>
        <v/>
      </c>
      <c r="E11" s="19" t="n"/>
      <c r="F11" s="19" t="n"/>
      <c r="G11">
        <f>E11+F11</f>
        <v/>
      </c>
      <c r="H11" s="14">
        <f>IF(G11=0,"",D11/G11)</f>
        <v/>
      </c>
    </row>
    <row r="12">
      <c r="A12" t="inlineStr">
        <is>
          <t>Sunday</t>
        </is>
      </c>
      <c r="B12" s="26" t="n"/>
      <c r="C12" s="26" t="n"/>
      <c r="D12" s="14">
        <f>B12+C12</f>
        <v/>
      </c>
      <c r="E12" s="19" t="n"/>
      <c r="F12" s="19" t="n"/>
      <c r="G12">
        <f>E12+F12</f>
        <v/>
      </c>
      <c r="H12" s="14">
        <f>IF(G12=0,"",D12/G12)</f>
        <v/>
      </c>
    </row>
    <row r="13">
      <c r="A13" s="18" t="inlineStr">
        <is>
          <t>WEEK TOTAL</t>
        </is>
      </c>
      <c r="B13" s="27">
        <f>SUM(B6:B12)</f>
        <v/>
      </c>
      <c r="C13" s="27">
        <f>SUM(C6:C12)</f>
        <v/>
      </c>
      <c r="D13" s="27">
        <f>SUM(D6:D12)</f>
        <v/>
      </c>
      <c r="E13" s="18">
        <f>SUM(E6:E12)</f>
        <v/>
      </c>
      <c r="F13" s="18">
        <f>SUM(F6:F12)</f>
        <v/>
      </c>
      <c r="G13" s="18">
        <f>SUM(G6:G12)</f>
        <v/>
      </c>
      <c r="H13" s="27">
        <f>IF(G13=0,"",D13/G13)</f>
        <v/>
      </c>
    </row>
    <row r="15">
      <c r="A15" s="3" t="inlineStr">
        <is>
          <t>COSTS</t>
        </is>
      </c>
      <c r="B15" s="20" t="inlineStr">
        <is>
          <t>Amount (£)</t>
        </is>
      </c>
    </row>
    <row r="16">
      <c r="A16" s="21" t="inlineStr">
        <is>
          <t>Stock Purchased</t>
        </is>
      </c>
      <c r="B16" s="28" t="n"/>
    </row>
    <row r="17">
      <c r="A17" s="21" t="inlineStr">
        <is>
          <t>Card Processing Fees</t>
        </is>
      </c>
      <c r="B17" s="29">
        <f>SUM(C6:C12)*0.029</f>
        <v/>
      </c>
    </row>
    <row r="18">
      <c r="A18" s="21" t="inlineStr">
        <is>
          <t>Nayax Monthly (pro-rata weekly)</t>
        </is>
      </c>
      <c r="B18" s="29">
        <f>10/4.33</f>
        <v/>
      </c>
    </row>
    <row r="19">
      <c r="A19" s="21" t="inlineStr">
        <is>
          <t>Site Rent (pro-rata weekly)</t>
        </is>
      </c>
      <c r="B19" s="28" t="n"/>
    </row>
    <row r="20">
      <c r="A20" s="21" t="inlineStr">
        <is>
          <t>Travel/Fuel</t>
        </is>
      </c>
      <c r="B20" s="28" t="n"/>
    </row>
    <row r="21">
      <c r="A21" s="21" t="inlineStr">
        <is>
          <t>Other</t>
        </is>
      </c>
      <c r="B21" s="28" t="n"/>
    </row>
    <row r="22">
      <c r="A22" s="5" t="inlineStr">
        <is>
          <t>Total Costs</t>
        </is>
      </c>
      <c r="B22" s="30">
        <f>SUM(B16:B21)</f>
        <v/>
      </c>
    </row>
    <row r="24">
      <c r="A24" s="3" t="inlineStr">
        <is>
          <t>WEEKLY SUMMARY</t>
        </is>
      </c>
      <c r="B24" s="4" t="n"/>
    </row>
    <row r="25">
      <c r="A25" s="18" t="inlineStr">
        <is>
          <t>Gross Revenue</t>
        </is>
      </c>
      <c r="B25" s="27">
        <f>D13</f>
        <v/>
      </c>
    </row>
    <row r="26">
      <c r="A26" s="18" t="inlineStr">
        <is>
          <t>Total Costs</t>
        </is>
      </c>
      <c r="B26" s="27">
        <f>B22</f>
        <v/>
      </c>
    </row>
    <row r="27">
      <c r="A27" s="18" t="inlineStr">
        <is>
          <t>Net Profit</t>
        </is>
      </c>
      <c r="B27" s="27">
        <f>B25-B26</f>
        <v/>
      </c>
    </row>
    <row r="28">
      <c r="A28" s="18" t="inlineStr">
        <is>
          <t>Gross Margin %</t>
        </is>
      </c>
      <c r="B28" s="31">
        <f>IF(B25=0,"",(B25-B16)/B25)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2026-03-22T19:26:40Z</dcterms:created>
  <dcterms:modified xsi:type="dcterms:W3CDTF">2026-03-22T19:26:40Z</dcterms:modified>
</cp:coreProperties>
</file>